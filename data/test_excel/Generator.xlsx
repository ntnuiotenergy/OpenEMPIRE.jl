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21AF5464-8A18-4C1D-AE4A-E48B1F46FF47}" xr6:coauthVersionLast="47" xr6:coauthVersionMax="47" xr10:uidLastSave="{00000000-0000-0000-0000-000000000000}"/>
  <bookViews>
    <workbookView xWindow="28680" yWindow="-120" windowWidth="29040" windowHeight="15720" tabRatio="788" firstSheet="5" activeTab="13" xr2:uid="{00000000-000D-0000-FFFF-FFFF00000000}"/>
  </bookViews>
  <sheets>
    <sheet name="CapitalCosts" sheetId="15" r:id="rId1"/>
    <sheet name="FixedOMCosts" sheetId="16" r:id="rId2"/>
    <sheet name="VariableOMCosts" sheetId="18" r:id="rId3"/>
    <sheet name="FuelCosts" sheetId="19" r:id="rId4"/>
    <sheet name="CCSCostTSVariable" sheetId="20" r:id="rId5"/>
    <sheet name="Efficiency" sheetId="17" r:id="rId6"/>
    <sheet name="RefInitialCap" sheetId="21" r:id="rId7"/>
    <sheet name="ScaleFactorInitialCap" sheetId="22" r:id="rId8"/>
    <sheet name="InitialCapacity" sheetId="13" r:id="rId9"/>
    <sheet name="MaxBuiltCapacity" sheetId="12" r:id="rId10"/>
    <sheet name="MaxInstalledCapacity" sheetId="11" r:id="rId11"/>
    <sheet name="RampRate" sheetId="10" r:id="rId12"/>
    <sheet name="GeneratorTypeAvailability" sheetId="9" r:id="rId13"/>
    <sheet name="CO2Content" sheetId="8" r:id="rId14"/>
    <sheet name="Lifetime" sheetId="23" r:id="rId15"/>
  </sheets>
  <definedNames>
    <definedName name="_xlnm._FilterDatabase" localSheetId="0" hidden="1">CapitalCosts!$A$1:$C$69</definedName>
    <definedName name="_xlnm._FilterDatabase" localSheetId="13" hidden="1">CO2Content!$A$1:$B$255</definedName>
    <definedName name="_xlnm._FilterDatabase" localSheetId="5" hidden="1">Efficiency!$A$2:$C$84</definedName>
    <definedName name="_xlnm._FilterDatabase" localSheetId="1" hidden="1">FixedOMCosts!$A$1:$C$69</definedName>
    <definedName name="_xlnm._FilterDatabase" localSheetId="3" hidden="1">FuelCosts!$A$1:$C$84</definedName>
    <definedName name="_xlnm._FilterDatabase" localSheetId="8" hidden="1">InitialCapacity!$A$1:$D$1115</definedName>
    <definedName name="_xlnm._FilterDatabase" localSheetId="9" hidden="1">MaxBuiltCapacity!$A$1:$D$21</definedName>
    <definedName name="_xlnm._FilterDatabase" localSheetId="10" hidden="1">MaxInstalledCapacity!$A$1:$C$49</definedName>
    <definedName name="_xlnm._FilterDatabase" localSheetId="6" hidden="1">RefInitialCap!$A$1:$C$35</definedName>
    <definedName name="_xlnm._FilterDatabase" localSheetId="7" hidden="1">ScaleFactorInitialCap!$A$1:$D$15</definedName>
    <definedName name="arcs">#REF!</definedName>
    <definedName name="gen">Lifetime!$A$3:$B$7</definedName>
    <definedName name="Gene1">#REF!</definedName>
    <definedName name="gensOfNode">#REF!</definedName>
    <definedName name="gent">#REF!</definedName>
    <definedName name="initialCap">#REF!,#REF!</definedName>
    <definedName name="initialCap2">InitialCapacity!$B$3:$C$4</definedName>
    <definedName name="intlinks1">#REF!</definedName>
    <definedName name="invCost">#REF!</definedName>
    <definedName name="margCost">#REF!,#REF!</definedName>
    <definedName name="margCost2">#REF!</definedName>
    <definedName name="maxBuiltCap">#REF!,#REF!</definedName>
    <definedName name="maxBuiltCap2">MaxBuiltCapacity!$B$3:$D$3</definedName>
    <definedName name="maxInstalledCap">#REF!,#REF!</definedName>
    <definedName name="maxInstalledCap2">MaxInstalledCapacity!$A$3:$C$3</definedName>
    <definedName name="nodes">#REF!</definedName>
    <definedName name="ophours1">#REF!</definedName>
    <definedName name="period1">#REF!</definedName>
    <definedName name="scen">#REF!</definedName>
    <definedName name="seas1">#REF!</definedName>
    <definedName name="StorageOfNodes">#REF!</definedName>
    <definedName name="storages1">#REF!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0" i="8" l="1"/>
  <c r="B16" i="8"/>
  <c r="B15" i="8"/>
  <c r="B7" i="8"/>
  <c r="B6" i="8"/>
  <c r="B11" i="8"/>
  <c r="B10" i="8"/>
  <c r="C30" i="21" l="1"/>
  <c r="C20" i="21" l="1"/>
  <c r="C17" i="21"/>
  <c r="C11" i="21"/>
  <c r="C8" i="21"/>
  <c r="C4" i="21"/>
  <c r="C14" i="21"/>
  <c r="B19" i="8" l="1"/>
  <c r="B17" i="8"/>
  <c r="B14" i="8"/>
  <c r="B13" i="8"/>
  <c r="B12" i="8"/>
  <c r="B9" i="8"/>
  <c r="B8" i="8"/>
  <c r="B5" i="8"/>
  <c r="B4" i="8"/>
</calcChain>
</file>

<file path=xl/sharedStrings.xml><?xml version="1.0" encoding="utf-8"?>
<sst xmlns="http://schemas.openxmlformats.org/spreadsheetml/2006/main" count="720" uniqueCount="93">
  <si>
    <t>Period</t>
  </si>
  <si>
    <t>Liginite existing</t>
  </si>
  <si>
    <t>Lignite</t>
  </si>
  <si>
    <t>Lignite CCS adv</t>
  </si>
  <si>
    <t>Coal existing</t>
  </si>
  <si>
    <t>Coal</t>
  </si>
  <si>
    <t>Coal CCS adv</t>
  </si>
  <si>
    <t>Gas existing</t>
  </si>
  <si>
    <t>Gas OCGT</t>
  </si>
  <si>
    <t>Gas CCGT</t>
  </si>
  <si>
    <t>Gas CCS adv</t>
  </si>
  <si>
    <t>Oil existing</t>
  </si>
  <si>
    <t>Bio existing</t>
  </si>
  <si>
    <t>Nuclear</t>
  </si>
  <si>
    <t>Wave</t>
  </si>
  <si>
    <t>Geo</t>
  </si>
  <si>
    <t>Hydro regulated</t>
  </si>
  <si>
    <t>Hydro run-of-the-river</t>
  </si>
  <si>
    <t>Bio</t>
  </si>
  <si>
    <t>Wind onshore</t>
  </si>
  <si>
    <t>Wind offshore</t>
  </si>
  <si>
    <t>Solar</t>
  </si>
  <si>
    <t>Lignite CCS sup</t>
  </si>
  <si>
    <t>Coal CCS</t>
  </si>
  <si>
    <t>Gas CCS</t>
  </si>
  <si>
    <t>Gas</t>
  </si>
  <si>
    <t>Oil</t>
  </si>
  <si>
    <t>Germany</t>
  </si>
  <si>
    <t>Denmark</t>
  </si>
  <si>
    <t>GeneratorTechnology</t>
  </si>
  <si>
    <t>France</t>
  </si>
  <si>
    <t>Node</t>
  </si>
  <si>
    <t>Bio 10 cofiring</t>
  </si>
  <si>
    <t>Bio 10 cofiring CCS</t>
  </si>
  <si>
    <t>RampRate</t>
  </si>
  <si>
    <t>ThermalGenerators</t>
  </si>
  <si>
    <t>Generator</t>
  </si>
  <si>
    <t>Existing</t>
  </si>
  <si>
    <t>CCS</t>
  </si>
  <si>
    <t>Hcoal</t>
  </si>
  <si>
    <t>CoFire</t>
  </si>
  <si>
    <t>Hydro_reg</t>
  </si>
  <si>
    <t>Hydro_ror</t>
  </si>
  <si>
    <t>Wind_onshr</t>
  </si>
  <si>
    <t>Wind_offshr</t>
  </si>
  <si>
    <t>generatorInitialCapacity in MW</t>
  </si>
  <si>
    <t>generatorMaxBuildCapacity in MW</t>
  </si>
  <si>
    <t>generatorMaxInstallCapacity  in MW</t>
  </si>
  <si>
    <t>GeneratorTypeAvailability</t>
  </si>
  <si>
    <t>generatorEfficiency</t>
  </si>
  <si>
    <t>generatorTypeFuelCost in euro per GJ</t>
  </si>
  <si>
    <t>CCS_TScost in euro per tCO2</t>
  </si>
  <si>
    <t>generatorVariableOMcosts in euro per MWh</t>
  </si>
  <si>
    <t>generatorRetirementFactorInitialCap</t>
  </si>
  <si>
    <t>generatoReferenceInitialCapacity in MW</t>
  </si>
  <si>
    <t>JCR 2009</t>
  </si>
  <si>
    <t>Linear (all cap by 2045)</t>
  </si>
  <si>
    <t>Comment</t>
  </si>
  <si>
    <t>Source: JCR 2009</t>
  </si>
  <si>
    <t>generatorLifetime</t>
  </si>
  <si>
    <t>Description: Total capital costs for investment generator types (default: 0)</t>
  </si>
  <si>
    <t>Description: Fixed annual operation and maintenance costs for generator types (default: 0)</t>
  </si>
  <si>
    <t>Source: IEA, NEA</t>
  </si>
  <si>
    <t>Description: Operation dependent (fixed per MWh) operation and maintenance cost for generator type (default: 0)</t>
  </si>
  <si>
    <t>Source: EC reference scenario (decarb 2016)</t>
  </si>
  <si>
    <t>Description: Period dependent fuel cost for generator types (default: 0)</t>
  </si>
  <si>
    <t>Source: ZEP</t>
  </si>
  <si>
    <t>Description: Cost of transporting and storing captured CO2 (dependent on amount captured) (default: 0)</t>
  </si>
  <si>
    <t>Description: Efficiency of converting fuel to electricity for generator types (default: 1)</t>
  </si>
  <si>
    <t>Source: Assumed</t>
  </si>
  <si>
    <t>Description: Maximum capacity expansion of generator typess in one node and investment period (default: 500 000)</t>
  </si>
  <si>
    <t>No wind data</t>
  </si>
  <si>
    <t>Technology not allowed</t>
  </si>
  <si>
    <t>NREAP (2020 number + 20%)</t>
  </si>
  <si>
    <t>Tradewind's high wind scenario 2030 (http://www.trade-wind.eu/)</t>
  </si>
  <si>
    <t>Nordic energy technology perspective 2016, p 244</t>
  </si>
  <si>
    <t>Source: See legend to the right</t>
  </si>
  <si>
    <t xml:space="preserve">Description: Maximum capacity that can exist (resource limit) of a generator (default: 0) </t>
  </si>
  <si>
    <t>Description: Maximum change of output from one hour compared to the previous hour for thermal generator types (default: 0)</t>
  </si>
  <si>
    <t>Description: Maximum available capacity of installed capacity of generator type in any hour (default: 0 - meaning time-dependent availability, see 'Stochastic')</t>
  </si>
  <si>
    <t>Source: IPCC_2006_Guidelines_V2_2_Ch2_Stationary_Combustion</t>
  </si>
  <si>
    <t>CO2Content_in_tCO2/GJ</t>
  </si>
  <si>
    <t>Description: CO2 intensity of generator type depending on fuel (default: 0)</t>
  </si>
  <si>
    <t>Description: Lifetime of generator type in years (default: 0)</t>
  </si>
  <si>
    <t>Source: PRIMES 2018</t>
  </si>
  <si>
    <t>Description: Capacity in the reference investment period (here: 2018) (default: 0)</t>
  </si>
  <si>
    <t>Source: STATISTICAL FACTSHEET 2018 (ENTSO-E)</t>
  </si>
  <si>
    <t>Waste</t>
  </si>
  <si>
    <t>Hydro capacity shared 50/50 between pumped and regulated</t>
  </si>
  <si>
    <t>Added 'Mixed fuels+Other fossil/non-renewable'</t>
  </si>
  <si>
    <t>Description: Capacity in investment period (here: only ref 2020 (period 1)) (default: 0)</t>
  </si>
  <si>
    <t>Description: The share of capacity that has retired compared to the reference period (here: so '0' for 2020 (period 1)) (default: 0 - no retirement)</t>
  </si>
  <si>
    <t>generatorCapitalCost in euro per 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</si>
</sst>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4">
    <xf numFmtId="0" fontId="0" fillId="0" borderId="0"/>
    <xf numFmtId="0" fontId="3" fillId="0" borderId="0"/>
    <xf numFmtId="9" fontId="3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3" fontId="0" fillId="2" borderId="0" xfId="0" applyNumberFormat="1" applyFill="1"/>
    <xf numFmtId="3" fontId="0" fillId="4" borderId="0" xfId="0" applyNumberFormat="1" applyFill="1"/>
    <xf numFmtId="3" fontId="1" fillId="5" borderId="0" xfId="0" applyNumberFormat="1" applyFont="1" applyFill="1"/>
    <xf numFmtId="3" fontId="0" fillId="0" borderId="0" xfId="0" applyNumberFormat="1"/>
    <xf numFmtId="3" fontId="0" fillId="6" borderId="0" xfId="0" applyNumberFormat="1" applyFill="1"/>
    <xf numFmtId="3" fontId="0" fillId="6" borderId="0" xfId="0" applyNumberFormat="1" applyFill="1" applyAlignment="1">
      <alignment horizontal="right"/>
    </xf>
    <xf numFmtId="3" fontId="0" fillId="7" borderId="0" xfId="0" applyNumberFormat="1" applyFill="1"/>
    <xf numFmtId="3" fontId="0" fillId="8" borderId="0" xfId="0" applyNumberFormat="1" applyFill="1"/>
    <xf numFmtId="3" fontId="0" fillId="9" borderId="0" xfId="0" applyNumberFormat="1" applyFill="1"/>
    <xf numFmtId="3" fontId="0" fillId="10" borderId="0" xfId="0" applyNumberFormat="1" applyFill="1"/>
    <xf numFmtId="0" fontId="0" fillId="11" borderId="0" xfId="0" applyFill="1"/>
    <xf numFmtId="0" fontId="0" fillId="3" borderId="0" xfId="0" applyFill="1"/>
    <xf numFmtId="0" fontId="0" fillId="8" borderId="0" xfId="0" applyFill="1"/>
    <xf numFmtId="0" fontId="0" fillId="7" borderId="0" xfId="0" applyFill="1"/>
    <xf numFmtId="0" fontId="0" fillId="6" borderId="0" xfId="0" applyFill="1"/>
    <xf numFmtId="0" fontId="1" fillId="0" borderId="0" xfId="0" applyFont="1"/>
    <xf numFmtId="0" fontId="4" fillId="0" borderId="1" xfId="0" applyFont="1" applyBorder="1" applyAlignment="1">
      <alignment vertical="center" wrapText="1" readingOrder="1"/>
    </xf>
    <xf numFmtId="0" fontId="0" fillId="12" borderId="0" xfId="0" applyFill="1"/>
    <xf numFmtId="0" fontId="0" fillId="4" borderId="0" xfId="0" applyFill="1"/>
    <xf numFmtId="0" fontId="0" fillId="13" borderId="0" xfId="0" applyFill="1"/>
    <xf numFmtId="3" fontId="0" fillId="14" borderId="0" xfId="0" applyNumberFormat="1" applyFill="1"/>
  </cellXfs>
  <cellStyles count="4">
    <cellStyle name="Comma 2" xfId="3" xr:uid="{00000000-0005-0000-0000-000000000000}"/>
    <cellStyle name="Normal" xfId="0" builtinId="0"/>
    <cellStyle name="Normal 2" xfId="1" xr:uid="{00000000-0005-0000-0000-000003000000}"/>
    <cellStyle name="Percent 2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93410-15EF-47DC-BA96-BE58925E48EC}">
  <dimension ref="A1:C69"/>
  <sheetViews>
    <sheetView workbookViewId="0">
      <selection activeCell="B7" sqref="B7"/>
    </sheetView>
  </sheetViews>
  <sheetFormatPr defaultColWidth="11.42578125" defaultRowHeight="15" x14ac:dyDescent="0.25"/>
  <cols>
    <col min="1" max="1" width="18.140625" bestFit="1" customWidth="1"/>
    <col min="2" max="2" width="5.85546875" bestFit="1" customWidth="1"/>
    <col min="3" max="3" width="30.42578125" bestFit="1" customWidth="1"/>
  </cols>
  <sheetData>
    <row r="1" spans="1:3" x14ac:dyDescent="0.25">
      <c r="A1" t="s">
        <v>84</v>
      </c>
    </row>
    <row r="2" spans="1:3" x14ac:dyDescent="0.25">
      <c r="A2" t="s">
        <v>60</v>
      </c>
    </row>
    <row r="3" spans="1:3" ht="30" x14ac:dyDescent="0.25">
      <c r="A3" t="s">
        <v>29</v>
      </c>
      <c r="B3" s="1" t="s">
        <v>0</v>
      </c>
      <c r="C3" t="s">
        <v>92</v>
      </c>
    </row>
    <row r="4" spans="1:3" x14ac:dyDescent="0.25">
      <c r="A4" t="s">
        <v>2</v>
      </c>
      <c r="B4">
        <v>1</v>
      </c>
      <c r="C4">
        <v>1800</v>
      </c>
    </row>
    <row r="5" spans="1:3" x14ac:dyDescent="0.25">
      <c r="A5" t="s">
        <v>3</v>
      </c>
      <c r="B5">
        <v>1</v>
      </c>
      <c r="C5">
        <v>2600</v>
      </c>
    </row>
    <row r="6" spans="1:3" x14ac:dyDescent="0.25">
      <c r="A6" t="s">
        <v>22</v>
      </c>
      <c r="B6">
        <v>1</v>
      </c>
      <c r="C6">
        <v>3799.2307692307691</v>
      </c>
    </row>
    <row r="7" spans="1:3" x14ac:dyDescent="0.25">
      <c r="A7" t="s">
        <v>5</v>
      </c>
      <c r="B7">
        <v>1</v>
      </c>
      <c r="C7">
        <v>1600</v>
      </c>
    </row>
    <row r="8" spans="1:3" x14ac:dyDescent="0.25">
      <c r="A8" t="s">
        <v>6</v>
      </c>
      <c r="B8">
        <v>1</v>
      </c>
      <c r="C8">
        <v>2500</v>
      </c>
    </row>
    <row r="9" spans="1:3" x14ac:dyDescent="0.25">
      <c r="A9" t="s">
        <v>23</v>
      </c>
      <c r="B9">
        <v>1</v>
      </c>
      <c r="C9">
        <v>3550</v>
      </c>
    </row>
    <row r="10" spans="1:3" x14ac:dyDescent="0.25">
      <c r="A10" t="s">
        <v>8</v>
      </c>
      <c r="B10">
        <v>1</v>
      </c>
      <c r="C10">
        <v>400</v>
      </c>
    </row>
    <row r="11" spans="1:3" x14ac:dyDescent="0.25">
      <c r="A11" t="s">
        <v>9</v>
      </c>
      <c r="B11">
        <v>1</v>
      </c>
      <c r="C11">
        <v>720</v>
      </c>
    </row>
    <row r="12" spans="1:3" x14ac:dyDescent="0.25">
      <c r="A12" t="s">
        <v>10</v>
      </c>
      <c r="B12">
        <v>1</v>
      </c>
      <c r="C12">
        <v>1350</v>
      </c>
    </row>
    <row r="13" spans="1:3" x14ac:dyDescent="0.25">
      <c r="A13" t="s">
        <v>24</v>
      </c>
      <c r="B13">
        <v>1</v>
      </c>
      <c r="C13">
        <v>1750</v>
      </c>
    </row>
    <row r="14" spans="1:3" x14ac:dyDescent="0.25">
      <c r="A14" t="s">
        <v>32</v>
      </c>
      <c r="B14">
        <v>1</v>
      </c>
      <c r="C14">
        <v>1600</v>
      </c>
    </row>
    <row r="15" spans="1:3" x14ac:dyDescent="0.25">
      <c r="A15" t="s">
        <v>33</v>
      </c>
      <c r="B15">
        <v>1</v>
      </c>
      <c r="C15">
        <v>2600</v>
      </c>
    </row>
    <row r="16" spans="1:3" x14ac:dyDescent="0.25">
      <c r="A16" t="s">
        <v>13</v>
      </c>
      <c r="B16">
        <v>1</v>
      </c>
      <c r="C16">
        <v>6000</v>
      </c>
    </row>
    <row r="17" spans="1:3" x14ac:dyDescent="0.25">
      <c r="A17" t="s">
        <v>14</v>
      </c>
      <c r="B17">
        <v>1</v>
      </c>
      <c r="C17">
        <v>6100</v>
      </c>
    </row>
    <row r="18" spans="1:3" x14ac:dyDescent="0.25">
      <c r="A18" t="s">
        <v>15</v>
      </c>
      <c r="B18">
        <v>1</v>
      </c>
      <c r="C18">
        <v>4970</v>
      </c>
    </row>
    <row r="19" spans="1:3" x14ac:dyDescent="0.25">
      <c r="A19" t="s">
        <v>16</v>
      </c>
      <c r="B19">
        <v>1</v>
      </c>
      <c r="C19">
        <v>3000</v>
      </c>
    </row>
    <row r="20" spans="1:3" x14ac:dyDescent="0.25">
      <c r="A20" t="s">
        <v>17</v>
      </c>
      <c r="B20">
        <v>1</v>
      </c>
      <c r="C20">
        <v>2450</v>
      </c>
    </row>
    <row r="21" spans="1:3" x14ac:dyDescent="0.25">
      <c r="A21" t="s">
        <v>18</v>
      </c>
      <c r="B21">
        <v>1</v>
      </c>
      <c r="C21">
        <v>2000</v>
      </c>
    </row>
    <row r="22" spans="1:3" x14ac:dyDescent="0.25">
      <c r="A22" t="s">
        <v>19</v>
      </c>
      <c r="B22">
        <v>1</v>
      </c>
      <c r="C22">
        <v>1295</v>
      </c>
    </row>
    <row r="23" spans="1:3" x14ac:dyDescent="0.25">
      <c r="A23" t="s">
        <v>20</v>
      </c>
      <c r="B23">
        <v>1</v>
      </c>
      <c r="C23">
        <v>2778</v>
      </c>
    </row>
    <row r="24" spans="1:3" x14ac:dyDescent="0.25">
      <c r="A24" t="s">
        <v>21</v>
      </c>
      <c r="B24">
        <v>1</v>
      </c>
      <c r="C24">
        <v>710</v>
      </c>
    </row>
    <row r="25" spans="1:3" x14ac:dyDescent="0.25">
      <c r="A25" t="s">
        <v>2</v>
      </c>
      <c r="B25">
        <v>2</v>
      </c>
      <c r="C25">
        <v>1800</v>
      </c>
    </row>
    <row r="26" spans="1:3" x14ac:dyDescent="0.25">
      <c r="A26" t="s">
        <v>3</v>
      </c>
      <c r="B26">
        <v>2</v>
      </c>
      <c r="C26">
        <v>2600</v>
      </c>
    </row>
    <row r="27" spans="1:3" x14ac:dyDescent="0.25">
      <c r="A27" t="s">
        <v>22</v>
      </c>
      <c r="B27">
        <v>2</v>
      </c>
      <c r="C27">
        <v>3799.2307692307691</v>
      </c>
    </row>
    <row r="28" spans="1:3" x14ac:dyDescent="0.25">
      <c r="A28" t="s">
        <v>5</v>
      </c>
      <c r="B28">
        <v>2</v>
      </c>
      <c r="C28">
        <v>1600</v>
      </c>
    </row>
    <row r="29" spans="1:3" x14ac:dyDescent="0.25">
      <c r="A29" t="s">
        <v>6</v>
      </c>
      <c r="B29">
        <v>2</v>
      </c>
      <c r="C29">
        <v>2500</v>
      </c>
    </row>
    <row r="30" spans="1:3" x14ac:dyDescent="0.25">
      <c r="A30" t="s">
        <v>23</v>
      </c>
      <c r="B30">
        <v>2</v>
      </c>
      <c r="C30">
        <v>3550</v>
      </c>
    </row>
    <row r="31" spans="1:3" x14ac:dyDescent="0.25">
      <c r="A31" t="s">
        <v>8</v>
      </c>
      <c r="B31">
        <v>2</v>
      </c>
      <c r="C31">
        <v>400</v>
      </c>
    </row>
    <row r="32" spans="1:3" x14ac:dyDescent="0.25">
      <c r="A32" t="s">
        <v>9</v>
      </c>
      <c r="B32">
        <v>2</v>
      </c>
      <c r="C32">
        <v>720</v>
      </c>
    </row>
    <row r="33" spans="1:3" x14ac:dyDescent="0.25">
      <c r="A33" t="s">
        <v>10</v>
      </c>
      <c r="B33">
        <v>2</v>
      </c>
      <c r="C33">
        <v>1350</v>
      </c>
    </row>
    <row r="34" spans="1:3" x14ac:dyDescent="0.25">
      <c r="A34" t="s">
        <v>24</v>
      </c>
      <c r="B34">
        <v>2</v>
      </c>
      <c r="C34">
        <v>1750</v>
      </c>
    </row>
    <row r="35" spans="1:3" x14ac:dyDescent="0.25">
      <c r="A35" t="s">
        <v>32</v>
      </c>
      <c r="B35">
        <v>2</v>
      </c>
      <c r="C35">
        <v>1600</v>
      </c>
    </row>
    <row r="36" spans="1:3" x14ac:dyDescent="0.25">
      <c r="A36" t="s">
        <v>33</v>
      </c>
      <c r="B36">
        <v>2</v>
      </c>
      <c r="C36">
        <v>2600</v>
      </c>
    </row>
    <row r="37" spans="1:3" x14ac:dyDescent="0.25">
      <c r="A37" t="s">
        <v>13</v>
      </c>
      <c r="B37">
        <v>2</v>
      </c>
      <c r="C37">
        <v>6000</v>
      </c>
    </row>
    <row r="38" spans="1:3" x14ac:dyDescent="0.25">
      <c r="A38" t="s">
        <v>14</v>
      </c>
      <c r="B38">
        <v>2</v>
      </c>
      <c r="C38">
        <v>6100</v>
      </c>
    </row>
    <row r="39" spans="1:3" x14ac:dyDescent="0.25">
      <c r="A39" t="s">
        <v>15</v>
      </c>
      <c r="B39">
        <v>2</v>
      </c>
      <c r="C39">
        <v>4970</v>
      </c>
    </row>
    <row r="40" spans="1:3" x14ac:dyDescent="0.25">
      <c r="A40" t="s">
        <v>16</v>
      </c>
      <c r="B40">
        <v>2</v>
      </c>
      <c r="C40">
        <v>3000</v>
      </c>
    </row>
    <row r="41" spans="1:3" x14ac:dyDescent="0.25">
      <c r="A41" t="s">
        <v>17</v>
      </c>
      <c r="B41">
        <v>2</v>
      </c>
      <c r="C41">
        <v>2450</v>
      </c>
    </row>
    <row r="42" spans="1:3" x14ac:dyDescent="0.25">
      <c r="A42" t="s">
        <v>18</v>
      </c>
      <c r="B42">
        <v>2</v>
      </c>
      <c r="C42">
        <v>2000</v>
      </c>
    </row>
    <row r="43" spans="1:3" x14ac:dyDescent="0.25">
      <c r="A43" t="s">
        <v>19</v>
      </c>
      <c r="B43">
        <v>2</v>
      </c>
      <c r="C43">
        <v>1295</v>
      </c>
    </row>
    <row r="44" spans="1:3" x14ac:dyDescent="0.25">
      <c r="A44" t="s">
        <v>20</v>
      </c>
      <c r="B44">
        <v>2</v>
      </c>
      <c r="C44">
        <v>2778</v>
      </c>
    </row>
    <row r="45" spans="1:3" x14ac:dyDescent="0.25">
      <c r="A45" t="s">
        <v>21</v>
      </c>
      <c r="B45">
        <v>2</v>
      </c>
      <c r="C45">
        <v>710</v>
      </c>
    </row>
    <row r="46" spans="1:3" x14ac:dyDescent="0.25">
      <c r="A46" t="s">
        <v>2</v>
      </c>
      <c r="B46">
        <v>3</v>
      </c>
      <c r="C46">
        <v>1800</v>
      </c>
    </row>
    <row r="47" spans="1:3" x14ac:dyDescent="0.25">
      <c r="A47" t="s">
        <v>3</v>
      </c>
      <c r="B47">
        <v>3</v>
      </c>
      <c r="C47">
        <v>2530</v>
      </c>
    </row>
    <row r="48" spans="1:3" x14ac:dyDescent="0.25">
      <c r="A48" t="s">
        <v>22</v>
      </c>
      <c r="B48">
        <v>3</v>
      </c>
      <c r="C48">
        <v>3799.2307692307691</v>
      </c>
    </row>
    <row r="49" spans="1:3" x14ac:dyDescent="0.25">
      <c r="A49" t="s">
        <v>5</v>
      </c>
      <c r="B49">
        <v>3</v>
      </c>
      <c r="C49">
        <v>1600</v>
      </c>
    </row>
    <row r="50" spans="1:3" x14ac:dyDescent="0.25">
      <c r="A50" t="s">
        <v>6</v>
      </c>
      <c r="B50">
        <v>3</v>
      </c>
      <c r="C50">
        <v>2430</v>
      </c>
    </row>
    <row r="51" spans="1:3" x14ac:dyDescent="0.25">
      <c r="A51" t="s">
        <v>23</v>
      </c>
      <c r="B51">
        <v>3</v>
      </c>
      <c r="C51">
        <v>3350</v>
      </c>
    </row>
    <row r="52" spans="1:3" x14ac:dyDescent="0.25">
      <c r="A52" t="s">
        <v>8</v>
      </c>
      <c r="B52">
        <v>3</v>
      </c>
      <c r="C52">
        <v>400</v>
      </c>
    </row>
    <row r="53" spans="1:3" x14ac:dyDescent="0.25">
      <c r="A53" t="s">
        <v>9</v>
      </c>
      <c r="B53">
        <v>3</v>
      </c>
      <c r="C53">
        <v>690</v>
      </c>
    </row>
    <row r="54" spans="1:3" x14ac:dyDescent="0.25">
      <c r="A54" t="s">
        <v>10</v>
      </c>
      <c r="B54">
        <v>3</v>
      </c>
      <c r="C54">
        <v>1330</v>
      </c>
    </row>
    <row r="55" spans="1:3" x14ac:dyDescent="0.25">
      <c r="A55" t="s">
        <v>24</v>
      </c>
      <c r="B55">
        <v>3</v>
      </c>
      <c r="C55">
        <v>1625</v>
      </c>
    </row>
    <row r="56" spans="1:3" x14ac:dyDescent="0.25">
      <c r="A56" t="s">
        <v>32</v>
      </c>
      <c r="B56">
        <v>3</v>
      </c>
      <c r="C56">
        <v>1600</v>
      </c>
    </row>
    <row r="57" spans="1:3" x14ac:dyDescent="0.25">
      <c r="A57" t="s">
        <v>33</v>
      </c>
      <c r="B57">
        <v>3</v>
      </c>
      <c r="C57">
        <v>2530</v>
      </c>
    </row>
    <row r="58" spans="1:3" x14ac:dyDescent="0.25">
      <c r="A58" t="s">
        <v>13</v>
      </c>
      <c r="B58">
        <v>3</v>
      </c>
      <c r="C58">
        <v>6000</v>
      </c>
    </row>
    <row r="59" spans="1:3" x14ac:dyDescent="0.25">
      <c r="A59" t="s">
        <v>14</v>
      </c>
      <c r="B59">
        <v>3</v>
      </c>
      <c r="C59">
        <v>3100</v>
      </c>
    </row>
    <row r="60" spans="1:3" x14ac:dyDescent="0.25">
      <c r="A60" t="s">
        <v>15</v>
      </c>
      <c r="B60">
        <v>3</v>
      </c>
      <c r="C60">
        <v>4586</v>
      </c>
    </row>
    <row r="61" spans="1:3" x14ac:dyDescent="0.25">
      <c r="A61" t="s">
        <v>16</v>
      </c>
      <c r="B61">
        <v>3</v>
      </c>
      <c r="C61">
        <v>3000</v>
      </c>
    </row>
    <row r="62" spans="1:3" x14ac:dyDescent="0.25">
      <c r="A62" t="s">
        <v>17</v>
      </c>
      <c r="B62">
        <v>3</v>
      </c>
      <c r="C62">
        <v>2400</v>
      </c>
    </row>
    <row r="63" spans="1:3" x14ac:dyDescent="0.25">
      <c r="A63" t="s">
        <v>18</v>
      </c>
      <c r="B63">
        <v>3</v>
      </c>
      <c r="C63">
        <v>1800</v>
      </c>
    </row>
    <row r="64" spans="1:3" x14ac:dyDescent="0.25">
      <c r="A64" t="s">
        <v>19</v>
      </c>
      <c r="B64">
        <v>3</v>
      </c>
      <c r="C64">
        <v>1161</v>
      </c>
    </row>
    <row r="65" spans="1:3" x14ac:dyDescent="0.25">
      <c r="A65" t="s">
        <v>20</v>
      </c>
      <c r="B65">
        <v>3</v>
      </c>
      <c r="C65">
        <v>2048</v>
      </c>
    </row>
    <row r="66" spans="1:3" x14ac:dyDescent="0.25">
      <c r="A66" t="s">
        <v>21</v>
      </c>
      <c r="B66">
        <v>3</v>
      </c>
      <c r="C66">
        <v>663</v>
      </c>
    </row>
    <row r="67" spans="1:3" x14ac:dyDescent="0.25">
      <c r="A67" t="s">
        <v>87</v>
      </c>
      <c r="B67">
        <v>1</v>
      </c>
      <c r="C67">
        <v>2030</v>
      </c>
    </row>
    <row r="68" spans="1:3" x14ac:dyDescent="0.25">
      <c r="A68" t="s">
        <v>87</v>
      </c>
      <c r="B68">
        <v>2</v>
      </c>
      <c r="C68">
        <v>2030</v>
      </c>
    </row>
    <row r="69" spans="1:3" x14ac:dyDescent="0.25">
      <c r="A69" t="s">
        <v>87</v>
      </c>
      <c r="B69">
        <v>3</v>
      </c>
      <c r="C69">
        <v>2013</v>
      </c>
    </row>
  </sheetData>
  <autoFilter ref="A1:C69" xr:uid="{7C2F75F1-22D4-4B25-877D-02FDA8CF96F6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E140D-15F6-46C3-90DF-3BF42CF695F9}">
  <dimension ref="A1:C69"/>
  <sheetViews>
    <sheetView workbookViewId="0">
      <selection activeCell="A67" sqref="A67:XFD179"/>
    </sheetView>
  </sheetViews>
  <sheetFormatPr defaultColWidth="11.42578125" defaultRowHeight="15" x14ac:dyDescent="0.25"/>
  <cols>
    <col min="1" max="1" width="18.140625" bestFit="1" customWidth="1"/>
    <col min="2" max="2" width="5.85546875" bestFit="1" customWidth="1"/>
    <col min="3" max="3" width="30.42578125" bestFit="1" customWidth="1"/>
  </cols>
  <sheetData>
    <row r="1" spans="1:3" x14ac:dyDescent="0.25">
      <c r="A1" t="s">
        <v>84</v>
      </c>
    </row>
    <row r="2" spans="1:3" x14ac:dyDescent="0.25">
      <c r="A2" t="s">
        <v>61</v>
      </c>
    </row>
    <row r="3" spans="1:3" ht="30" x14ac:dyDescent="0.25">
      <c r="A3" t="s">
        <v>29</v>
      </c>
      <c r="B3" s="1" t="s">
        <v>0</v>
      </c>
      <c r="C3" t="s">
        <v>92</v>
      </c>
    </row>
    <row r="4" spans="1:3" x14ac:dyDescent="0.25">
      <c r="A4" t="s">
        <v>2</v>
      </c>
      <c r="B4">
        <v>1</v>
      </c>
      <c r="C4">
        <v>32.5</v>
      </c>
    </row>
    <row r="5" spans="1:3" x14ac:dyDescent="0.25">
      <c r="A5" t="s">
        <v>3</v>
      </c>
      <c r="B5">
        <v>1</v>
      </c>
      <c r="C5">
        <v>51.37</v>
      </c>
    </row>
    <row r="6" spans="1:3" x14ac:dyDescent="0.25">
      <c r="A6" t="s">
        <v>22</v>
      </c>
      <c r="B6">
        <v>1</v>
      </c>
      <c r="C6">
        <v>79.650000000000006</v>
      </c>
    </row>
    <row r="7" spans="1:3" x14ac:dyDescent="0.25">
      <c r="A7" t="s">
        <v>5</v>
      </c>
      <c r="B7">
        <v>1</v>
      </c>
      <c r="C7">
        <v>25.6</v>
      </c>
    </row>
    <row r="8" spans="1:3" x14ac:dyDescent="0.25">
      <c r="A8" t="s">
        <v>6</v>
      </c>
      <c r="B8">
        <v>1</v>
      </c>
      <c r="C8">
        <v>46.96</v>
      </c>
    </row>
    <row r="9" spans="1:3" x14ac:dyDescent="0.25">
      <c r="A9" t="s">
        <v>23</v>
      </c>
      <c r="B9">
        <v>1</v>
      </c>
      <c r="C9">
        <v>69.8</v>
      </c>
    </row>
    <row r="10" spans="1:3" x14ac:dyDescent="0.25">
      <c r="A10" t="s">
        <v>8</v>
      </c>
      <c r="B10">
        <v>1</v>
      </c>
      <c r="C10">
        <v>19.5</v>
      </c>
    </row>
    <row r="11" spans="1:3" x14ac:dyDescent="0.25">
      <c r="A11" t="s">
        <v>9</v>
      </c>
      <c r="B11">
        <v>1</v>
      </c>
      <c r="C11">
        <v>15</v>
      </c>
    </row>
    <row r="12" spans="1:3" x14ac:dyDescent="0.25">
      <c r="A12" t="s">
        <v>10</v>
      </c>
      <c r="B12">
        <v>1</v>
      </c>
      <c r="C12">
        <v>46.875</v>
      </c>
    </row>
    <row r="13" spans="1:3" x14ac:dyDescent="0.25">
      <c r="A13" t="s">
        <v>24</v>
      </c>
      <c r="B13">
        <v>1</v>
      </c>
      <c r="C13">
        <v>41</v>
      </c>
    </row>
    <row r="14" spans="1:3" x14ac:dyDescent="0.25">
      <c r="A14" t="s">
        <v>32</v>
      </c>
      <c r="B14">
        <v>1</v>
      </c>
      <c r="C14">
        <v>32.4</v>
      </c>
    </row>
    <row r="15" spans="1:3" x14ac:dyDescent="0.25">
      <c r="A15" t="s">
        <v>33</v>
      </c>
      <c r="B15">
        <v>1</v>
      </c>
      <c r="C15">
        <v>51.37</v>
      </c>
    </row>
    <row r="16" spans="1:3" x14ac:dyDescent="0.25">
      <c r="A16" t="s">
        <v>13</v>
      </c>
      <c r="B16">
        <v>1</v>
      </c>
      <c r="C16">
        <v>120</v>
      </c>
    </row>
    <row r="17" spans="1:3" x14ac:dyDescent="0.25">
      <c r="A17" t="s">
        <v>14</v>
      </c>
      <c r="B17">
        <v>1</v>
      </c>
      <c r="C17">
        <v>39.6</v>
      </c>
    </row>
    <row r="18" spans="1:3" x14ac:dyDescent="0.25">
      <c r="A18" t="s">
        <v>15</v>
      </c>
      <c r="B18">
        <v>1</v>
      </c>
      <c r="C18">
        <v>95</v>
      </c>
    </row>
    <row r="19" spans="1:3" x14ac:dyDescent="0.25">
      <c r="A19" t="s">
        <v>16</v>
      </c>
      <c r="B19">
        <v>1</v>
      </c>
      <c r="C19">
        <v>25.5</v>
      </c>
    </row>
    <row r="20" spans="1:3" x14ac:dyDescent="0.25">
      <c r="A20" t="s">
        <v>17</v>
      </c>
      <c r="B20">
        <v>1</v>
      </c>
      <c r="C20">
        <v>8.9</v>
      </c>
    </row>
    <row r="21" spans="1:3" x14ac:dyDescent="0.25">
      <c r="A21" t="s">
        <v>18</v>
      </c>
      <c r="B21">
        <v>1</v>
      </c>
      <c r="C21">
        <v>47.5</v>
      </c>
    </row>
    <row r="22" spans="1:3" x14ac:dyDescent="0.25">
      <c r="A22" t="s">
        <v>19</v>
      </c>
      <c r="B22">
        <v>1</v>
      </c>
      <c r="C22">
        <v>14</v>
      </c>
    </row>
    <row r="23" spans="1:3" x14ac:dyDescent="0.25">
      <c r="A23" t="s">
        <v>20</v>
      </c>
      <c r="B23">
        <v>1</v>
      </c>
      <c r="C23">
        <v>42</v>
      </c>
    </row>
    <row r="24" spans="1:3" x14ac:dyDescent="0.25">
      <c r="A24" t="s">
        <v>21</v>
      </c>
      <c r="B24">
        <v>1</v>
      </c>
      <c r="C24">
        <v>12.6</v>
      </c>
    </row>
    <row r="25" spans="1:3" x14ac:dyDescent="0.25">
      <c r="A25" t="s">
        <v>2</v>
      </c>
      <c r="B25">
        <v>2</v>
      </c>
      <c r="C25">
        <v>32.5</v>
      </c>
    </row>
    <row r="26" spans="1:3" x14ac:dyDescent="0.25">
      <c r="A26" t="s">
        <v>3</v>
      </c>
      <c r="B26">
        <v>2</v>
      </c>
      <c r="C26">
        <v>51.37</v>
      </c>
    </row>
    <row r="27" spans="1:3" x14ac:dyDescent="0.25">
      <c r="A27" t="s">
        <v>22</v>
      </c>
      <c r="B27">
        <v>2</v>
      </c>
      <c r="C27">
        <v>79.650000000000006</v>
      </c>
    </row>
    <row r="28" spans="1:3" x14ac:dyDescent="0.25">
      <c r="A28" t="s">
        <v>5</v>
      </c>
      <c r="B28">
        <v>2</v>
      </c>
      <c r="C28">
        <v>25.6</v>
      </c>
    </row>
    <row r="29" spans="1:3" x14ac:dyDescent="0.25">
      <c r="A29" t="s">
        <v>6</v>
      </c>
      <c r="B29">
        <v>2</v>
      </c>
      <c r="C29">
        <v>46.96</v>
      </c>
    </row>
    <row r="30" spans="1:3" x14ac:dyDescent="0.25">
      <c r="A30" t="s">
        <v>23</v>
      </c>
      <c r="B30">
        <v>2</v>
      </c>
      <c r="C30">
        <v>69.8</v>
      </c>
    </row>
    <row r="31" spans="1:3" x14ac:dyDescent="0.25">
      <c r="A31" t="s">
        <v>8</v>
      </c>
      <c r="B31">
        <v>2</v>
      </c>
      <c r="C31">
        <v>19.5</v>
      </c>
    </row>
    <row r="32" spans="1:3" x14ac:dyDescent="0.25">
      <c r="A32" t="s">
        <v>9</v>
      </c>
      <c r="B32">
        <v>2</v>
      </c>
      <c r="C32">
        <v>15</v>
      </c>
    </row>
    <row r="33" spans="1:3" x14ac:dyDescent="0.25">
      <c r="A33" t="s">
        <v>10</v>
      </c>
      <c r="B33">
        <v>2</v>
      </c>
      <c r="C33">
        <v>46.875</v>
      </c>
    </row>
    <row r="34" spans="1:3" x14ac:dyDescent="0.25">
      <c r="A34" t="s">
        <v>24</v>
      </c>
      <c r="B34">
        <v>2</v>
      </c>
      <c r="C34">
        <v>41</v>
      </c>
    </row>
    <row r="35" spans="1:3" x14ac:dyDescent="0.25">
      <c r="A35" t="s">
        <v>32</v>
      </c>
      <c r="B35">
        <v>2</v>
      </c>
      <c r="C35">
        <v>32.4</v>
      </c>
    </row>
    <row r="36" spans="1:3" x14ac:dyDescent="0.25">
      <c r="A36" t="s">
        <v>33</v>
      </c>
      <c r="B36">
        <v>2</v>
      </c>
      <c r="C36">
        <v>51.37</v>
      </c>
    </row>
    <row r="37" spans="1:3" x14ac:dyDescent="0.25">
      <c r="A37" t="s">
        <v>13</v>
      </c>
      <c r="B37">
        <v>2</v>
      </c>
      <c r="C37">
        <v>120</v>
      </c>
    </row>
    <row r="38" spans="1:3" x14ac:dyDescent="0.25">
      <c r="A38" t="s">
        <v>14</v>
      </c>
      <c r="B38">
        <v>2</v>
      </c>
      <c r="C38">
        <v>39.6</v>
      </c>
    </row>
    <row r="39" spans="1:3" x14ac:dyDescent="0.25">
      <c r="A39" t="s">
        <v>15</v>
      </c>
      <c r="B39">
        <v>2</v>
      </c>
      <c r="C39">
        <v>95</v>
      </c>
    </row>
    <row r="40" spans="1:3" x14ac:dyDescent="0.25">
      <c r="A40" t="s">
        <v>16</v>
      </c>
      <c r="B40">
        <v>2</v>
      </c>
      <c r="C40">
        <v>25.5</v>
      </c>
    </row>
    <row r="41" spans="1:3" x14ac:dyDescent="0.25">
      <c r="A41" t="s">
        <v>17</v>
      </c>
      <c r="B41">
        <v>2</v>
      </c>
      <c r="C41">
        <v>8.9</v>
      </c>
    </row>
    <row r="42" spans="1:3" x14ac:dyDescent="0.25">
      <c r="A42" t="s">
        <v>18</v>
      </c>
      <c r="B42">
        <v>2</v>
      </c>
      <c r="C42">
        <v>47.5</v>
      </c>
    </row>
    <row r="43" spans="1:3" x14ac:dyDescent="0.25">
      <c r="A43" t="s">
        <v>19</v>
      </c>
      <c r="B43">
        <v>2</v>
      </c>
      <c r="C43">
        <v>14</v>
      </c>
    </row>
    <row r="44" spans="1:3" x14ac:dyDescent="0.25">
      <c r="A44" t="s">
        <v>20</v>
      </c>
      <c r="B44">
        <v>2</v>
      </c>
      <c r="C44">
        <v>42</v>
      </c>
    </row>
    <row r="45" spans="1:3" x14ac:dyDescent="0.25">
      <c r="A45" t="s">
        <v>21</v>
      </c>
      <c r="B45">
        <v>2</v>
      </c>
      <c r="C45">
        <v>12.6</v>
      </c>
    </row>
    <row r="46" spans="1:3" x14ac:dyDescent="0.25">
      <c r="A46" t="s">
        <v>2</v>
      </c>
      <c r="B46">
        <v>3</v>
      </c>
      <c r="C46">
        <v>32.5</v>
      </c>
    </row>
    <row r="47" spans="1:3" x14ac:dyDescent="0.25">
      <c r="A47" t="s">
        <v>3</v>
      </c>
      <c r="B47">
        <v>3</v>
      </c>
      <c r="C47">
        <v>51.37</v>
      </c>
    </row>
    <row r="48" spans="1:3" x14ac:dyDescent="0.25">
      <c r="A48" t="s">
        <v>22</v>
      </c>
      <c r="B48">
        <v>3</v>
      </c>
      <c r="C48">
        <v>79.650000000000006</v>
      </c>
    </row>
    <row r="49" spans="1:3" x14ac:dyDescent="0.25">
      <c r="A49" t="s">
        <v>5</v>
      </c>
      <c r="B49">
        <v>3</v>
      </c>
      <c r="C49">
        <v>25.6</v>
      </c>
    </row>
    <row r="50" spans="1:3" x14ac:dyDescent="0.25">
      <c r="A50" t="s">
        <v>6</v>
      </c>
      <c r="B50">
        <v>3</v>
      </c>
      <c r="C50">
        <v>46.96</v>
      </c>
    </row>
    <row r="51" spans="1:3" x14ac:dyDescent="0.25">
      <c r="A51" t="s">
        <v>23</v>
      </c>
      <c r="B51">
        <v>3</v>
      </c>
      <c r="C51">
        <v>65.900000000000006</v>
      </c>
    </row>
    <row r="52" spans="1:3" x14ac:dyDescent="0.25">
      <c r="A52" t="s">
        <v>8</v>
      </c>
      <c r="B52">
        <v>3</v>
      </c>
      <c r="C52">
        <v>19.5</v>
      </c>
    </row>
    <row r="53" spans="1:3" x14ac:dyDescent="0.25">
      <c r="A53" t="s">
        <v>9</v>
      </c>
      <c r="B53">
        <v>3</v>
      </c>
      <c r="C53">
        <v>15</v>
      </c>
    </row>
    <row r="54" spans="1:3" x14ac:dyDescent="0.25">
      <c r="A54" t="s">
        <v>10</v>
      </c>
      <c r="B54">
        <v>3</v>
      </c>
      <c r="C54">
        <v>46.875</v>
      </c>
    </row>
    <row r="55" spans="1:3" x14ac:dyDescent="0.25">
      <c r="A55" t="s">
        <v>24</v>
      </c>
      <c r="B55">
        <v>3</v>
      </c>
      <c r="C55">
        <v>38.200000000000003</v>
      </c>
    </row>
    <row r="56" spans="1:3" x14ac:dyDescent="0.25">
      <c r="A56" t="s">
        <v>32</v>
      </c>
      <c r="B56">
        <v>3</v>
      </c>
      <c r="C56">
        <v>32.4</v>
      </c>
    </row>
    <row r="57" spans="1:3" x14ac:dyDescent="0.25">
      <c r="A57" t="s">
        <v>33</v>
      </c>
      <c r="B57">
        <v>3</v>
      </c>
      <c r="C57">
        <v>51.37</v>
      </c>
    </row>
    <row r="58" spans="1:3" x14ac:dyDescent="0.25">
      <c r="A58" t="s">
        <v>13</v>
      </c>
      <c r="B58">
        <v>3</v>
      </c>
      <c r="C58">
        <v>115</v>
      </c>
    </row>
    <row r="59" spans="1:3" x14ac:dyDescent="0.25">
      <c r="A59" t="s">
        <v>14</v>
      </c>
      <c r="B59">
        <v>3</v>
      </c>
      <c r="C59">
        <v>33.299999999999997</v>
      </c>
    </row>
    <row r="60" spans="1:3" x14ac:dyDescent="0.25">
      <c r="A60" t="s">
        <v>15</v>
      </c>
      <c r="B60">
        <v>3</v>
      </c>
      <c r="C60">
        <v>95</v>
      </c>
    </row>
    <row r="61" spans="1:3" x14ac:dyDescent="0.25">
      <c r="A61" t="s">
        <v>16</v>
      </c>
      <c r="B61">
        <v>3</v>
      </c>
      <c r="C61">
        <v>25.5</v>
      </c>
    </row>
    <row r="62" spans="1:3" x14ac:dyDescent="0.25">
      <c r="A62" t="s">
        <v>17</v>
      </c>
      <c r="B62">
        <v>3</v>
      </c>
      <c r="C62">
        <v>8.1999999999999993</v>
      </c>
    </row>
    <row r="63" spans="1:3" x14ac:dyDescent="0.25">
      <c r="A63" t="s">
        <v>18</v>
      </c>
      <c r="B63">
        <v>3</v>
      </c>
      <c r="C63">
        <v>40.1</v>
      </c>
    </row>
    <row r="64" spans="1:3" x14ac:dyDescent="0.25">
      <c r="A64" t="s">
        <v>19</v>
      </c>
      <c r="B64">
        <v>3</v>
      </c>
      <c r="C64">
        <v>14</v>
      </c>
    </row>
    <row r="65" spans="1:3" x14ac:dyDescent="0.25">
      <c r="A65" t="s">
        <v>20</v>
      </c>
      <c r="B65">
        <v>3</v>
      </c>
      <c r="C65">
        <v>31</v>
      </c>
    </row>
    <row r="66" spans="1:3" x14ac:dyDescent="0.25">
      <c r="A66" t="s">
        <v>21</v>
      </c>
      <c r="B66">
        <v>3</v>
      </c>
      <c r="C66">
        <v>10.8</v>
      </c>
    </row>
    <row r="67" spans="1:3" x14ac:dyDescent="0.25">
      <c r="A67" t="s">
        <v>87</v>
      </c>
      <c r="B67">
        <v>1</v>
      </c>
      <c r="C67">
        <v>52.3</v>
      </c>
    </row>
    <row r="68" spans="1:3" x14ac:dyDescent="0.25">
      <c r="A68" t="s">
        <v>87</v>
      </c>
      <c r="B68">
        <v>2</v>
      </c>
      <c r="C68">
        <v>52.3</v>
      </c>
    </row>
    <row r="69" spans="1:3" x14ac:dyDescent="0.25">
      <c r="A69" t="s">
        <v>87</v>
      </c>
      <c r="B69">
        <v>3</v>
      </c>
      <c r="C69">
        <v>44.5</v>
      </c>
    </row>
  </sheetData>
  <autoFilter ref="A1:C69" xr:uid="{1E2D1989-654C-4808-9318-DD8832D8C16A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A0E55-8A35-4D2F-9D77-EA22D2B08DB5}">
  <dimension ref="A1:B30"/>
  <sheetViews>
    <sheetView workbookViewId="0">
      <selection activeCell="B30" sqref="B30"/>
    </sheetView>
  </sheetViews>
  <sheetFormatPr defaultColWidth="11.42578125" defaultRowHeight="15" x14ac:dyDescent="0.25"/>
  <cols>
    <col min="1" max="1" width="18.140625" bestFit="1" customWidth="1"/>
    <col min="2" max="2" width="36" bestFit="1" customWidth="1"/>
  </cols>
  <sheetData>
    <row r="1" spans="1:2" x14ac:dyDescent="0.25">
      <c r="A1" t="s">
        <v>62</v>
      </c>
    </row>
    <row r="2" spans="1:2" x14ac:dyDescent="0.25">
      <c r="A2" t="s">
        <v>63</v>
      </c>
    </row>
    <row r="3" spans="1:2" x14ac:dyDescent="0.25">
      <c r="A3" t="s">
        <v>29</v>
      </c>
      <c r="B3" t="s">
        <v>52</v>
      </c>
    </row>
    <row r="4" spans="1:2" x14ac:dyDescent="0.25">
      <c r="A4" t="s">
        <v>1</v>
      </c>
      <c r="B4">
        <v>3</v>
      </c>
    </row>
    <row r="5" spans="1:2" x14ac:dyDescent="0.25">
      <c r="A5" t="s">
        <v>2</v>
      </c>
      <c r="B5">
        <v>3</v>
      </c>
    </row>
    <row r="6" spans="1:2" x14ac:dyDescent="0.25">
      <c r="A6" t="s">
        <v>3</v>
      </c>
      <c r="B6">
        <v>3.28</v>
      </c>
    </row>
    <row r="7" spans="1:2" x14ac:dyDescent="0.25">
      <c r="A7" t="s">
        <v>22</v>
      </c>
      <c r="B7">
        <v>1.18</v>
      </c>
    </row>
    <row r="8" spans="1:2" x14ac:dyDescent="0.25">
      <c r="A8" t="s">
        <v>4</v>
      </c>
      <c r="B8">
        <v>2.4</v>
      </c>
    </row>
    <row r="9" spans="1:2" x14ac:dyDescent="0.25">
      <c r="A9" t="s">
        <v>5</v>
      </c>
      <c r="B9">
        <v>2.4</v>
      </c>
    </row>
    <row r="10" spans="1:2" x14ac:dyDescent="0.25">
      <c r="A10" t="s">
        <v>6</v>
      </c>
      <c r="B10">
        <v>2.46</v>
      </c>
    </row>
    <row r="11" spans="1:2" x14ac:dyDescent="0.25">
      <c r="A11" t="s">
        <v>23</v>
      </c>
      <c r="B11">
        <v>7.3</v>
      </c>
    </row>
    <row r="12" spans="1:2" x14ac:dyDescent="0.25">
      <c r="A12" t="s">
        <v>7</v>
      </c>
      <c r="B12">
        <v>2.31</v>
      </c>
    </row>
    <row r="13" spans="1:2" x14ac:dyDescent="0.25">
      <c r="A13" t="s">
        <v>8</v>
      </c>
      <c r="B13">
        <v>2.31</v>
      </c>
    </row>
    <row r="14" spans="1:2" x14ac:dyDescent="0.25">
      <c r="A14" t="s">
        <v>9</v>
      </c>
      <c r="B14">
        <v>2.31</v>
      </c>
    </row>
    <row r="15" spans="1:2" x14ac:dyDescent="0.25">
      <c r="A15" t="s">
        <v>10</v>
      </c>
      <c r="B15">
        <v>1.85</v>
      </c>
    </row>
    <row r="16" spans="1:2" x14ac:dyDescent="0.25">
      <c r="A16" t="s">
        <v>24</v>
      </c>
      <c r="B16">
        <v>2.9</v>
      </c>
    </row>
    <row r="17" spans="1:2" x14ac:dyDescent="0.25">
      <c r="A17" t="s">
        <v>11</v>
      </c>
      <c r="B17">
        <v>2.76</v>
      </c>
    </row>
    <row r="18" spans="1:2" x14ac:dyDescent="0.25">
      <c r="A18" t="s">
        <v>12</v>
      </c>
      <c r="B18">
        <v>3.56</v>
      </c>
    </row>
    <row r="19" spans="1:2" x14ac:dyDescent="0.25">
      <c r="A19" t="s">
        <v>32</v>
      </c>
      <c r="B19">
        <v>0.48</v>
      </c>
    </row>
    <row r="20" spans="1:2" x14ac:dyDescent="0.25">
      <c r="A20" t="s">
        <v>33</v>
      </c>
      <c r="B20">
        <v>3.28</v>
      </c>
    </row>
    <row r="21" spans="1:2" x14ac:dyDescent="0.25">
      <c r="A21" t="s">
        <v>13</v>
      </c>
      <c r="B21">
        <v>7.5</v>
      </c>
    </row>
    <row r="22" spans="1:2" x14ac:dyDescent="0.25">
      <c r="A22" t="s">
        <v>14</v>
      </c>
      <c r="B22">
        <v>0.1</v>
      </c>
    </row>
    <row r="23" spans="1:2" x14ac:dyDescent="0.25">
      <c r="A23" t="s">
        <v>15</v>
      </c>
      <c r="B23">
        <v>0.32</v>
      </c>
    </row>
    <row r="24" spans="1:2" x14ac:dyDescent="0.25">
      <c r="A24" t="s">
        <v>16</v>
      </c>
      <c r="B24">
        <v>0.32</v>
      </c>
    </row>
    <row r="25" spans="1:2" x14ac:dyDescent="0.25">
      <c r="A25" t="s">
        <v>17</v>
      </c>
      <c r="B25">
        <v>0</v>
      </c>
    </row>
    <row r="26" spans="1:2" x14ac:dyDescent="0.25">
      <c r="A26" t="s">
        <v>18</v>
      </c>
      <c r="B26">
        <v>3.56</v>
      </c>
    </row>
    <row r="27" spans="1:2" x14ac:dyDescent="0.25">
      <c r="A27" t="s">
        <v>19</v>
      </c>
      <c r="B27">
        <v>0.18</v>
      </c>
    </row>
    <row r="28" spans="1:2" x14ac:dyDescent="0.25">
      <c r="A28" t="s">
        <v>20</v>
      </c>
      <c r="B28">
        <v>0.39</v>
      </c>
    </row>
    <row r="29" spans="1:2" x14ac:dyDescent="0.25">
      <c r="A29" t="s">
        <v>21</v>
      </c>
      <c r="B29">
        <v>0</v>
      </c>
    </row>
    <row r="30" spans="1:2" x14ac:dyDescent="0.25">
      <c r="A30" t="s">
        <v>87</v>
      </c>
      <c r="B30">
        <v>0.82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99535-8217-4FDD-9775-08DFF4D5C579}">
  <dimension ref="A1:C84"/>
  <sheetViews>
    <sheetView workbookViewId="0">
      <selection activeCell="B1" sqref="B1"/>
    </sheetView>
  </sheetViews>
  <sheetFormatPr defaultColWidth="10.7109375" defaultRowHeight="15" x14ac:dyDescent="0.25"/>
  <cols>
    <col min="1" max="1" width="18.140625" bestFit="1" customWidth="1"/>
    <col min="2" max="2" width="5.85546875" bestFit="1" customWidth="1"/>
    <col min="3" max="3" width="30.42578125" bestFit="1" customWidth="1"/>
  </cols>
  <sheetData>
    <row r="1" spans="1:3" x14ac:dyDescent="0.25">
      <c r="A1" t="s">
        <v>64</v>
      </c>
    </row>
    <row r="2" spans="1:3" x14ac:dyDescent="0.25">
      <c r="A2" t="s">
        <v>65</v>
      </c>
    </row>
    <row r="3" spans="1:3" x14ac:dyDescent="0.25">
      <c r="A3" t="s">
        <v>29</v>
      </c>
      <c r="B3" t="s">
        <v>0</v>
      </c>
      <c r="C3" t="s">
        <v>50</v>
      </c>
    </row>
    <row r="4" spans="1:3" x14ac:dyDescent="0.25">
      <c r="A4" t="s">
        <v>1</v>
      </c>
      <c r="B4">
        <v>1</v>
      </c>
      <c r="C4">
        <v>1.4</v>
      </c>
    </row>
    <row r="5" spans="1:3" x14ac:dyDescent="0.25">
      <c r="A5" t="s">
        <v>2</v>
      </c>
      <c r="B5">
        <v>1</v>
      </c>
      <c r="C5">
        <v>1.4</v>
      </c>
    </row>
    <row r="6" spans="1:3" x14ac:dyDescent="0.25">
      <c r="A6" t="s">
        <v>3</v>
      </c>
      <c r="B6">
        <v>1</v>
      </c>
      <c r="C6">
        <v>1.4</v>
      </c>
    </row>
    <row r="7" spans="1:3" x14ac:dyDescent="0.25">
      <c r="A7" t="s">
        <v>22</v>
      </c>
      <c r="B7">
        <v>1</v>
      </c>
      <c r="C7">
        <v>1.4</v>
      </c>
    </row>
    <row r="8" spans="1:3" x14ac:dyDescent="0.25">
      <c r="A8" t="s">
        <v>4</v>
      </c>
      <c r="B8">
        <v>1</v>
      </c>
      <c r="C8">
        <v>2.3852185361603966</v>
      </c>
    </row>
    <row r="9" spans="1:3" x14ac:dyDescent="0.25">
      <c r="A9" t="s">
        <v>5</v>
      </c>
      <c r="B9">
        <v>1</v>
      </c>
      <c r="C9">
        <v>2.3852185361603966</v>
      </c>
    </row>
    <row r="10" spans="1:3" x14ac:dyDescent="0.25">
      <c r="A10" t="s">
        <v>6</v>
      </c>
      <c r="B10">
        <v>1</v>
      </c>
      <c r="C10">
        <v>2.3852185361603966</v>
      </c>
    </row>
    <row r="11" spans="1:3" x14ac:dyDescent="0.25">
      <c r="A11" t="s">
        <v>23</v>
      </c>
      <c r="B11">
        <v>1</v>
      </c>
      <c r="C11">
        <v>2.3852185361603966</v>
      </c>
    </row>
    <row r="12" spans="1:3" x14ac:dyDescent="0.25">
      <c r="A12" t="s">
        <v>7</v>
      </c>
      <c r="B12">
        <v>1</v>
      </c>
      <c r="C12">
        <v>8.0455904252016524</v>
      </c>
    </row>
    <row r="13" spans="1:3" x14ac:dyDescent="0.25">
      <c r="A13" t="s">
        <v>8</v>
      </c>
      <c r="B13">
        <v>1</v>
      </c>
      <c r="C13">
        <v>8.0455904252016524</v>
      </c>
    </row>
    <row r="14" spans="1:3" x14ac:dyDescent="0.25">
      <c r="A14" t="s">
        <v>9</v>
      </c>
      <c r="B14">
        <v>1</v>
      </c>
      <c r="C14">
        <v>8.0455904252016524</v>
      </c>
    </row>
    <row r="15" spans="1:3" x14ac:dyDescent="0.25">
      <c r="A15" t="s">
        <v>10</v>
      </c>
      <c r="B15">
        <v>1</v>
      </c>
      <c r="C15">
        <v>8.0455904252016524</v>
      </c>
    </row>
    <row r="16" spans="1:3" x14ac:dyDescent="0.25">
      <c r="A16" t="s">
        <v>24</v>
      </c>
      <c r="B16">
        <v>1</v>
      </c>
      <c r="C16">
        <v>8.0455904252016524</v>
      </c>
    </row>
    <row r="17" spans="1:3" x14ac:dyDescent="0.25">
      <c r="A17" t="s">
        <v>11</v>
      </c>
      <c r="B17">
        <v>1</v>
      </c>
      <c r="C17">
        <v>12.5</v>
      </c>
    </row>
    <row r="18" spans="1:3" x14ac:dyDescent="0.25">
      <c r="A18" t="s">
        <v>12</v>
      </c>
      <c r="B18">
        <v>1</v>
      </c>
      <c r="C18">
        <v>8.2280000000000015</v>
      </c>
    </row>
    <row r="19" spans="1:3" x14ac:dyDescent="0.25">
      <c r="A19" t="s">
        <v>32</v>
      </c>
      <c r="B19">
        <v>1</v>
      </c>
      <c r="C19">
        <v>2.9694966825443574</v>
      </c>
    </row>
    <row r="20" spans="1:3" x14ac:dyDescent="0.25">
      <c r="A20" t="s">
        <v>33</v>
      </c>
      <c r="B20">
        <v>1</v>
      </c>
      <c r="C20">
        <v>2.9694966825443574</v>
      </c>
    </row>
    <row r="21" spans="1:3" x14ac:dyDescent="0.25">
      <c r="A21" t="s">
        <v>13</v>
      </c>
      <c r="B21">
        <v>1</v>
      </c>
      <c r="C21">
        <v>1.0404</v>
      </c>
    </row>
    <row r="22" spans="1:3" x14ac:dyDescent="0.25">
      <c r="A22" t="s">
        <v>14</v>
      </c>
      <c r="B22">
        <v>1</v>
      </c>
      <c r="C22">
        <v>0</v>
      </c>
    </row>
    <row r="23" spans="1:3" x14ac:dyDescent="0.25">
      <c r="A23" t="s">
        <v>15</v>
      </c>
      <c r="B23">
        <v>1</v>
      </c>
      <c r="C23">
        <v>0</v>
      </c>
    </row>
    <row r="24" spans="1:3" x14ac:dyDescent="0.25">
      <c r="A24" t="s">
        <v>16</v>
      </c>
      <c r="B24">
        <v>1</v>
      </c>
      <c r="C24">
        <v>0</v>
      </c>
    </row>
    <row r="25" spans="1:3" x14ac:dyDescent="0.25">
      <c r="A25" t="s">
        <v>17</v>
      </c>
      <c r="B25">
        <v>1</v>
      </c>
      <c r="C25">
        <v>0</v>
      </c>
    </row>
    <row r="26" spans="1:3" x14ac:dyDescent="0.25">
      <c r="A26" t="s">
        <v>18</v>
      </c>
      <c r="B26">
        <v>1</v>
      </c>
      <c r="C26">
        <v>8.2280000000000015</v>
      </c>
    </row>
    <row r="27" spans="1:3" x14ac:dyDescent="0.25">
      <c r="A27" t="s">
        <v>19</v>
      </c>
      <c r="B27">
        <v>1</v>
      </c>
      <c r="C27">
        <v>0</v>
      </c>
    </row>
    <row r="28" spans="1:3" x14ac:dyDescent="0.25">
      <c r="A28" t="s">
        <v>20</v>
      </c>
      <c r="B28">
        <v>1</v>
      </c>
      <c r="C28">
        <v>0</v>
      </c>
    </row>
    <row r="29" spans="1:3" x14ac:dyDescent="0.25">
      <c r="A29" t="s">
        <v>21</v>
      </c>
      <c r="B29">
        <v>1</v>
      </c>
      <c r="C29">
        <v>0</v>
      </c>
    </row>
    <row r="30" spans="1:3" x14ac:dyDescent="0.25">
      <c r="A30" t="s">
        <v>1</v>
      </c>
      <c r="B30">
        <v>2</v>
      </c>
      <c r="C30">
        <v>1.4</v>
      </c>
    </row>
    <row r="31" spans="1:3" x14ac:dyDescent="0.25">
      <c r="A31" t="s">
        <v>2</v>
      </c>
      <c r="B31">
        <v>2</v>
      </c>
      <c r="C31">
        <v>1.4</v>
      </c>
    </row>
    <row r="32" spans="1:3" x14ac:dyDescent="0.25">
      <c r="A32" t="s">
        <v>3</v>
      </c>
      <c r="B32">
        <v>2</v>
      </c>
      <c r="C32">
        <v>1.4</v>
      </c>
    </row>
    <row r="33" spans="1:3" x14ac:dyDescent="0.25">
      <c r="A33" t="s">
        <v>22</v>
      </c>
      <c r="B33">
        <v>2</v>
      </c>
      <c r="C33">
        <v>1.4</v>
      </c>
    </row>
    <row r="34" spans="1:3" x14ac:dyDescent="0.25">
      <c r="A34" t="s">
        <v>4</v>
      </c>
      <c r="B34">
        <v>2</v>
      </c>
      <c r="C34">
        <v>2.8501025506971391</v>
      </c>
    </row>
    <row r="35" spans="1:3" x14ac:dyDescent="0.25">
      <c r="A35" t="s">
        <v>5</v>
      </c>
      <c r="B35">
        <v>2</v>
      </c>
      <c r="C35">
        <v>2.8501025506971391</v>
      </c>
    </row>
    <row r="36" spans="1:3" x14ac:dyDescent="0.25">
      <c r="A36" t="s">
        <v>6</v>
      </c>
      <c r="B36">
        <v>2</v>
      </c>
      <c r="C36">
        <v>2.8501025506971391</v>
      </c>
    </row>
    <row r="37" spans="1:3" x14ac:dyDescent="0.25">
      <c r="A37" t="s">
        <v>23</v>
      </c>
      <c r="B37">
        <v>2</v>
      </c>
      <c r="C37">
        <v>2.8501025506971391</v>
      </c>
    </row>
    <row r="38" spans="1:3" x14ac:dyDescent="0.25">
      <c r="A38" t="s">
        <v>7</v>
      </c>
      <c r="B38">
        <v>2</v>
      </c>
      <c r="C38">
        <v>8.7045482099218034</v>
      </c>
    </row>
    <row r="39" spans="1:3" x14ac:dyDescent="0.25">
      <c r="A39" t="s">
        <v>8</v>
      </c>
      <c r="B39">
        <v>2</v>
      </c>
      <c r="C39">
        <v>8.7045482099218034</v>
      </c>
    </row>
    <row r="40" spans="1:3" x14ac:dyDescent="0.25">
      <c r="A40" t="s">
        <v>9</v>
      </c>
      <c r="B40">
        <v>2</v>
      </c>
      <c r="C40">
        <v>8.7045482099218034</v>
      </c>
    </row>
    <row r="41" spans="1:3" x14ac:dyDescent="0.25">
      <c r="A41" t="s">
        <v>10</v>
      </c>
      <c r="B41">
        <v>2</v>
      </c>
      <c r="C41">
        <v>8.7045482099218034</v>
      </c>
    </row>
    <row r="42" spans="1:3" x14ac:dyDescent="0.25">
      <c r="A42" t="s">
        <v>24</v>
      </c>
      <c r="B42">
        <v>2</v>
      </c>
      <c r="C42">
        <v>8.7045482099218034</v>
      </c>
    </row>
    <row r="43" spans="1:3" x14ac:dyDescent="0.25">
      <c r="A43" t="s">
        <v>11</v>
      </c>
      <c r="B43">
        <v>2</v>
      </c>
      <c r="C43">
        <v>14.2</v>
      </c>
    </row>
    <row r="44" spans="1:3" x14ac:dyDescent="0.25">
      <c r="A44" t="s">
        <v>12</v>
      </c>
      <c r="B44">
        <v>2</v>
      </c>
      <c r="C44">
        <v>9.0508000000000024</v>
      </c>
    </row>
    <row r="45" spans="1:3" x14ac:dyDescent="0.25">
      <c r="A45" t="s">
        <v>32</v>
      </c>
      <c r="B45">
        <v>2</v>
      </c>
      <c r="C45">
        <v>3.4701722956274255</v>
      </c>
    </row>
    <row r="46" spans="1:3" x14ac:dyDescent="0.25">
      <c r="A46" t="s">
        <v>33</v>
      </c>
      <c r="B46">
        <v>2</v>
      </c>
      <c r="C46">
        <v>3.4701722956274255</v>
      </c>
    </row>
    <row r="47" spans="1:3" x14ac:dyDescent="0.25">
      <c r="A47" t="s">
        <v>13</v>
      </c>
      <c r="B47">
        <v>2</v>
      </c>
      <c r="C47">
        <v>1.0612079999999999</v>
      </c>
    </row>
    <row r="48" spans="1:3" x14ac:dyDescent="0.25">
      <c r="A48" t="s">
        <v>14</v>
      </c>
      <c r="B48">
        <v>2</v>
      </c>
      <c r="C48">
        <v>0</v>
      </c>
    </row>
    <row r="49" spans="1:3" x14ac:dyDescent="0.25">
      <c r="A49" t="s">
        <v>15</v>
      </c>
      <c r="B49">
        <v>2</v>
      </c>
      <c r="C49">
        <v>0</v>
      </c>
    </row>
    <row r="50" spans="1:3" x14ac:dyDescent="0.25">
      <c r="A50" t="s">
        <v>16</v>
      </c>
      <c r="B50">
        <v>2</v>
      </c>
      <c r="C50">
        <v>0</v>
      </c>
    </row>
    <row r="51" spans="1:3" x14ac:dyDescent="0.25">
      <c r="A51" t="s">
        <v>17</v>
      </c>
      <c r="B51">
        <v>2</v>
      </c>
      <c r="C51">
        <v>0</v>
      </c>
    </row>
    <row r="52" spans="1:3" x14ac:dyDescent="0.25">
      <c r="A52" t="s">
        <v>18</v>
      </c>
      <c r="B52">
        <v>2</v>
      </c>
      <c r="C52">
        <v>9.0508000000000024</v>
      </c>
    </row>
    <row r="53" spans="1:3" x14ac:dyDescent="0.25">
      <c r="A53" t="s">
        <v>19</v>
      </c>
      <c r="B53">
        <v>2</v>
      </c>
      <c r="C53">
        <v>0</v>
      </c>
    </row>
    <row r="54" spans="1:3" x14ac:dyDescent="0.25">
      <c r="A54" t="s">
        <v>20</v>
      </c>
      <c r="B54">
        <v>2</v>
      </c>
      <c r="C54">
        <v>0</v>
      </c>
    </row>
    <row r="55" spans="1:3" x14ac:dyDescent="0.25">
      <c r="A55" t="s">
        <v>21</v>
      </c>
      <c r="B55">
        <v>2</v>
      </c>
      <c r="C55">
        <v>0</v>
      </c>
    </row>
    <row r="56" spans="1:3" x14ac:dyDescent="0.25">
      <c r="A56" t="s">
        <v>1</v>
      </c>
      <c r="B56">
        <v>3</v>
      </c>
      <c r="C56">
        <v>1.5</v>
      </c>
    </row>
    <row r="57" spans="1:3" x14ac:dyDescent="0.25">
      <c r="A57" t="s">
        <v>2</v>
      </c>
      <c r="B57">
        <v>3</v>
      </c>
      <c r="C57">
        <v>1.5</v>
      </c>
    </row>
    <row r="58" spans="1:3" x14ac:dyDescent="0.25">
      <c r="A58" t="s">
        <v>3</v>
      </c>
      <c r="B58">
        <v>3</v>
      </c>
      <c r="C58">
        <v>1.5</v>
      </c>
    </row>
    <row r="59" spans="1:3" x14ac:dyDescent="0.25">
      <c r="A59" t="s">
        <v>22</v>
      </c>
      <c r="B59">
        <v>3</v>
      </c>
      <c r="C59">
        <v>1.5</v>
      </c>
    </row>
    <row r="60" spans="1:3" x14ac:dyDescent="0.25">
      <c r="A60" t="s">
        <v>4</v>
      </c>
      <c r="B60">
        <v>3</v>
      </c>
      <c r="C60">
        <v>3.420491466266518</v>
      </c>
    </row>
    <row r="61" spans="1:3" x14ac:dyDescent="0.25">
      <c r="A61" t="s">
        <v>5</v>
      </c>
      <c r="B61">
        <v>3</v>
      </c>
      <c r="C61">
        <v>3.420491466266518</v>
      </c>
    </row>
    <row r="62" spans="1:3" x14ac:dyDescent="0.25">
      <c r="A62" t="s">
        <v>6</v>
      </c>
      <c r="B62">
        <v>3</v>
      </c>
      <c r="C62">
        <v>3.420491466266518</v>
      </c>
    </row>
    <row r="63" spans="1:3" x14ac:dyDescent="0.25">
      <c r="A63" t="s">
        <v>23</v>
      </c>
      <c r="B63">
        <v>3</v>
      </c>
      <c r="C63">
        <v>3.420491466266518</v>
      </c>
    </row>
    <row r="64" spans="1:3" x14ac:dyDescent="0.25">
      <c r="A64" t="s">
        <v>7</v>
      </c>
      <c r="B64">
        <v>3</v>
      </c>
      <c r="C64">
        <v>9.4661940765841024</v>
      </c>
    </row>
    <row r="65" spans="1:3" x14ac:dyDescent="0.25">
      <c r="A65" t="s">
        <v>8</v>
      </c>
      <c r="B65">
        <v>3</v>
      </c>
      <c r="C65">
        <v>9.4661940765841024</v>
      </c>
    </row>
    <row r="66" spans="1:3" x14ac:dyDescent="0.25">
      <c r="A66" t="s">
        <v>9</v>
      </c>
      <c r="B66">
        <v>3</v>
      </c>
      <c r="C66">
        <v>9.4661940765841024</v>
      </c>
    </row>
    <row r="67" spans="1:3" x14ac:dyDescent="0.25">
      <c r="A67" t="s">
        <v>10</v>
      </c>
      <c r="B67">
        <v>3</v>
      </c>
      <c r="C67">
        <v>9.4661940765841024</v>
      </c>
    </row>
    <row r="68" spans="1:3" x14ac:dyDescent="0.25">
      <c r="A68" t="s">
        <v>24</v>
      </c>
      <c r="B68">
        <v>3</v>
      </c>
      <c r="C68">
        <v>9.4661940765841024</v>
      </c>
    </row>
    <row r="69" spans="1:3" x14ac:dyDescent="0.25">
      <c r="A69" t="s">
        <v>11</v>
      </c>
      <c r="B69">
        <v>3</v>
      </c>
      <c r="C69">
        <v>15.6</v>
      </c>
    </row>
    <row r="70" spans="1:3" x14ac:dyDescent="0.25">
      <c r="A70" t="s">
        <v>12</v>
      </c>
      <c r="B70">
        <v>3</v>
      </c>
      <c r="C70">
        <v>9.9558800000000041</v>
      </c>
    </row>
    <row r="71" spans="1:3" x14ac:dyDescent="0.25">
      <c r="A71" t="s">
        <v>32</v>
      </c>
      <c r="B71">
        <v>3</v>
      </c>
      <c r="C71">
        <v>4.0740303196398671</v>
      </c>
    </row>
    <row r="72" spans="1:3" x14ac:dyDescent="0.25">
      <c r="A72" t="s">
        <v>33</v>
      </c>
      <c r="B72">
        <v>3</v>
      </c>
      <c r="C72">
        <v>4.0740303196398671</v>
      </c>
    </row>
    <row r="73" spans="1:3" x14ac:dyDescent="0.25">
      <c r="A73" t="s">
        <v>13</v>
      </c>
      <c r="B73">
        <v>3</v>
      </c>
      <c r="C73">
        <v>1.08243216</v>
      </c>
    </row>
    <row r="74" spans="1:3" x14ac:dyDescent="0.25">
      <c r="A74" t="s">
        <v>14</v>
      </c>
      <c r="B74">
        <v>3</v>
      </c>
      <c r="C74">
        <v>0</v>
      </c>
    </row>
    <row r="75" spans="1:3" x14ac:dyDescent="0.25">
      <c r="A75" t="s">
        <v>15</v>
      </c>
      <c r="B75">
        <v>3</v>
      </c>
      <c r="C75">
        <v>0</v>
      </c>
    </row>
    <row r="76" spans="1:3" x14ac:dyDescent="0.25">
      <c r="A76" t="s">
        <v>16</v>
      </c>
      <c r="B76">
        <v>3</v>
      </c>
      <c r="C76">
        <v>0</v>
      </c>
    </row>
    <row r="77" spans="1:3" x14ac:dyDescent="0.25">
      <c r="A77" t="s">
        <v>17</v>
      </c>
      <c r="B77">
        <v>3</v>
      </c>
      <c r="C77">
        <v>0</v>
      </c>
    </row>
    <row r="78" spans="1:3" x14ac:dyDescent="0.25">
      <c r="A78" t="s">
        <v>18</v>
      </c>
      <c r="B78">
        <v>3</v>
      </c>
      <c r="C78">
        <v>9.9558800000000041</v>
      </c>
    </row>
    <row r="79" spans="1:3" x14ac:dyDescent="0.25">
      <c r="A79" t="s">
        <v>19</v>
      </c>
      <c r="B79">
        <v>3</v>
      </c>
      <c r="C79">
        <v>0</v>
      </c>
    </row>
    <row r="80" spans="1:3" x14ac:dyDescent="0.25">
      <c r="A80" t="s">
        <v>20</v>
      </c>
      <c r="B80">
        <v>3</v>
      </c>
      <c r="C80">
        <v>0</v>
      </c>
    </row>
    <row r="81" spans="1:3" x14ac:dyDescent="0.25">
      <c r="A81" t="s">
        <v>21</v>
      </c>
      <c r="B81">
        <v>3</v>
      </c>
      <c r="C81">
        <v>0</v>
      </c>
    </row>
    <row r="82" spans="1:3" x14ac:dyDescent="0.25">
      <c r="A82" t="s">
        <v>87</v>
      </c>
      <c r="B82">
        <v>1</v>
      </c>
      <c r="C82">
        <v>0</v>
      </c>
    </row>
    <row r="83" spans="1:3" x14ac:dyDescent="0.25">
      <c r="A83" t="s">
        <v>87</v>
      </c>
      <c r="B83">
        <v>2</v>
      </c>
      <c r="C83">
        <v>0</v>
      </c>
    </row>
    <row r="84" spans="1:3" x14ac:dyDescent="0.25">
      <c r="A84" t="s">
        <v>87</v>
      </c>
      <c r="B84">
        <v>3</v>
      </c>
      <c r="C84">
        <v>0</v>
      </c>
    </row>
  </sheetData>
  <autoFilter ref="A1:C84" xr:uid="{6B1F8AA4-01CB-49E0-A151-D37F60E106F4}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97637-40B8-4C85-8CCA-D48BD2E78F57}">
  <dimension ref="A1:B6"/>
  <sheetViews>
    <sheetView workbookViewId="0">
      <selection activeCell="E36" sqref="E36"/>
    </sheetView>
  </sheetViews>
  <sheetFormatPr defaultColWidth="11.42578125" defaultRowHeight="15" x14ac:dyDescent="0.25"/>
  <cols>
    <col min="1" max="1" width="9.7109375" bestFit="1" customWidth="1"/>
    <col min="2" max="2" width="23.140625" bestFit="1" customWidth="1"/>
  </cols>
  <sheetData>
    <row r="1" spans="1:2" x14ac:dyDescent="0.25">
      <c r="A1" t="s">
        <v>66</v>
      </c>
    </row>
    <row r="2" spans="1:2" x14ac:dyDescent="0.25">
      <c r="A2" t="s">
        <v>67</v>
      </c>
    </row>
    <row r="3" spans="1:2" x14ac:dyDescent="0.25">
      <c r="A3" t="s">
        <v>0</v>
      </c>
      <c r="B3" t="s">
        <v>51</v>
      </c>
    </row>
    <row r="4" spans="1:2" x14ac:dyDescent="0.25">
      <c r="A4">
        <v>1</v>
      </c>
      <c r="B4">
        <v>14.079703497822493</v>
      </c>
    </row>
    <row r="5" spans="1:2" x14ac:dyDescent="0.25">
      <c r="A5">
        <v>2</v>
      </c>
      <c r="B5">
        <v>14.079703497822493</v>
      </c>
    </row>
    <row r="6" spans="1:2" x14ac:dyDescent="0.25">
      <c r="A6">
        <v>3</v>
      </c>
      <c r="B6">
        <v>14.079703497822493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EB00D-6958-4463-84DB-BA9095D2D9BC}">
  <dimension ref="A1:C84"/>
  <sheetViews>
    <sheetView topLeftCell="A27" workbookViewId="0">
      <selection activeCell="B9" sqref="B9"/>
    </sheetView>
  </sheetViews>
  <sheetFormatPr defaultColWidth="11.42578125" defaultRowHeight="15" x14ac:dyDescent="0.25"/>
  <cols>
    <col min="1" max="1" width="18.140625" bestFit="1" customWidth="1"/>
    <col min="2" max="2" width="5.85546875" bestFit="1" customWidth="1"/>
    <col min="3" max="3" width="16" bestFit="1" customWidth="1"/>
  </cols>
  <sheetData>
    <row r="1" spans="1:3" x14ac:dyDescent="0.25">
      <c r="A1" t="s">
        <v>68</v>
      </c>
    </row>
    <row r="2" spans="1:3" x14ac:dyDescent="0.25">
      <c r="A2" t="s">
        <v>84</v>
      </c>
    </row>
    <row r="3" spans="1:3" ht="30" x14ac:dyDescent="0.25">
      <c r="A3" t="s">
        <v>29</v>
      </c>
      <c r="B3" s="1" t="s">
        <v>0</v>
      </c>
      <c r="C3" t="s">
        <v>49</v>
      </c>
    </row>
    <row r="4" spans="1:3" x14ac:dyDescent="0.25">
      <c r="A4" t="s">
        <v>18</v>
      </c>
      <c r="B4">
        <v>1</v>
      </c>
      <c r="C4">
        <v>0.35</v>
      </c>
    </row>
    <row r="5" spans="1:3" x14ac:dyDescent="0.25">
      <c r="A5" t="s">
        <v>18</v>
      </c>
      <c r="B5">
        <v>2</v>
      </c>
      <c r="C5">
        <v>0.35</v>
      </c>
    </row>
    <row r="6" spans="1:3" x14ac:dyDescent="0.25">
      <c r="A6" t="s">
        <v>18</v>
      </c>
      <c r="B6">
        <v>3</v>
      </c>
      <c r="C6">
        <v>0.39</v>
      </c>
    </row>
    <row r="7" spans="1:3" x14ac:dyDescent="0.25">
      <c r="A7" t="s">
        <v>32</v>
      </c>
      <c r="B7">
        <v>1</v>
      </c>
      <c r="C7">
        <v>0.45</v>
      </c>
    </row>
    <row r="8" spans="1:3" x14ac:dyDescent="0.25">
      <c r="A8" t="s">
        <v>32</v>
      </c>
      <c r="B8">
        <v>2</v>
      </c>
      <c r="C8">
        <v>0.45500000000000002</v>
      </c>
    </row>
    <row r="9" spans="1:3" x14ac:dyDescent="0.25">
      <c r="A9" t="s">
        <v>32</v>
      </c>
      <c r="B9">
        <v>3</v>
      </c>
      <c r="C9">
        <v>0.46</v>
      </c>
    </row>
    <row r="10" spans="1:3" x14ac:dyDescent="0.25">
      <c r="A10" t="s">
        <v>33</v>
      </c>
      <c r="B10">
        <v>1</v>
      </c>
      <c r="C10">
        <v>0.38500000000000001</v>
      </c>
    </row>
    <row r="11" spans="1:3" x14ac:dyDescent="0.25">
      <c r="A11" t="s">
        <v>33</v>
      </c>
      <c r="B11">
        <v>2</v>
      </c>
      <c r="C11">
        <v>0.38500000000000001</v>
      </c>
    </row>
    <row r="12" spans="1:3" x14ac:dyDescent="0.25">
      <c r="A12" t="s">
        <v>33</v>
      </c>
      <c r="B12">
        <v>3</v>
      </c>
      <c r="C12">
        <v>0.38500000000000001</v>
      </c>
    </row>
    <row r="13" spans="1:3" x14ac:dyDescent="0.25">
      <c r="A13" t="s">
        <v>12</v>
      </c>
      <c r="B13">
        <v>1</v>
      </c>
      <c r="C13">
        <v>0.35</v>
      </c>
    </row>
    <row r="14" spans="1:3" x14ac:dyDescent="0.25">
      <c r="A14" t="s">
        <v>12</v>
      </c>
      <c r="B14">
        <v>2</v>
      </c>
      <c r="C14">
        <v>0.35</v>
      </c>
    </row>
    <row r="15" spans="1:3" x14ac:dyDescent="0.25">
      <c r="A15" t="s">
        <v>12</v>
      </c>
      <c r="B15">
        <v>3</v>
      </c>
      <c r="C15">
        <v>0.39</v>
      </c>
    </row>
    <row r="16" spans="1:3" x14ac:dyDescent="0.25">
      <c r="A16" t="s">
        <v>5</v>
      </c>
      <c r="B16">
        <v>1</v>
      </c>
      <c r="C16">
        <v>0.38</v>
      </c>
    </row>
    <row r="17" spans="1:3" x14ac:dyDescent="0.25">
      <c r="A17" t="s">
        <v>5</v>
      </c>
      <c r="B17">
        <v>2</v>
      </c>
      <c r="C17">
        <v>0.38</v>
      </c>
    </row>
    <row r="18" spans="1:3" x14ac:dyDescent="0.25">
      <c r="A18" t="s">
        <v>5</v>
      </c>
      <c r="B18">
        <v>3</v>
      </c>
      <c r="C18">
        <v>0.42</v>
      </c>
    </row>
    <row r="19" spans="1:3" x14ac:dyDescent="0.25">
      <c r="A19" t="s">
        <v>23</v>
      </c>
      <c r="B19">
        <v>1</v>
      </c>
      <c r="C19">
        <v>0.37</v>
      </c>
    </row>
    <row r="20" spans="1:3" x14ac:dyDescent="0.25">
      <c r="A20" t="s">
        <v>23</v>
      </c>
      <c r="B20">
        <v>2</v>
      </c>
      <c r="C20">
        <v>0.37</v>
      </c>
    </row>
    <row r="21" spans="1:3" x14ac:dyDescent="0.25">
      <c r="A21" t="s">
        <v>23</v>
      </c>
      <c r="B21">
        <v>3</v>
      </c>
      <c r="C21">
        <v>0.39</v>
      </c>
    </row>
    <row r="22" spans="1:3" x14ac:dyDescent="0.25">
      <c r="A22" t="s">
        <v>6</v>
      </c>
      <c r="B22">
        <v>1</v>
      </c>
      <c r="C22">
        <v>0.38500000000000001</v>
      </c>
    </row>
    <row r="23" spans="1:3" x14ac:dyDescent="0.25">
      <c r="A23" t="s">
        <v>6</v>
      </c>
      <c r="B23">
        <v>2</v>
      </c>
      <c r="C23">
        <v>0.38500000000000001</v>
      </c>
    </row>
    <row r="24" spans="1:3" x14ac:dyDescent="0.25">
      <c r="A24" t="s">
        <v>6</v>
      </c>
      <c r="B24">
        <v>3</v>
      </c>
      <c r="C24">
        <v>0.38500000000000001</v>
      </c>
    </row>
    <row r="25" spans="1:3" x14ac:dyDescent="0.25">
      <c r="A25" t="s">
        <v>4</v>
      </c>
      <c r="B25">
        <v>1</v>
      </c>
      <c r="C25">
        <v>0.38</v>
      </c>
    </row>
    <row r="26" spans="1:3" x14ac:dyDescent="0.25">
      <c r="A26" t="s">
        <v>4</v>
      </c>
      <c r="B26">
        <v>2</v>
      </c>
      <c r="C26">
        <v>0.38</v>
      </c>
    </row>
    <row r="27" spans="1:3" x14ac:dyDescent="0.25">
      <c r="A27" t="s">
        <v>4</v>
      </c>
      <c r="B27">
        <v>3</v>
      </c>
      <c r="C27">
        <v>0.42</v>
      </c>
    </row>
    <row r="28" spans="1:3" x14ac:dyDescent="0.25">
      <c r="A28" t="s">
        <v>9</v>
      </c>
      <c r="B28">
        <v>1</v>
      </c>
      <c r="C28">
        <v>0.56999999999999995</v>
      </c>
    </row>
    <row r="29" spans="1:3" x14ac:dyDescent="0.25">
      <c r="A29" t="s">
        <v>9</v>
      </c>
      <c r="B29">
        <v>2</v>
      </c>
      <c r="C29">
        <v>0.56999999999999995</v>
      </c>
    </row>
    <row r="30" spans="1:3" x14ac:dyDescent="0.25">
      <c r="A30" t="s">
        <v>9</v>
      </c>
      <c r="B30">
        <v>3</v>
      </c>
      <c r="C30">
        <v>0.57999999999999996</v>
      </c>
    </row>
    <row r="31" spans="1:3" x14ac:dyDescent="0.25">
      <c r="A31" t="s">
        <v>24</v>
      </c>
      <c r="B31">
        <v>1</v>
      </c>
      <c r="C31">
        <v>0.43</v>
      </c>
    </row>
    <row r="32" spans="1:3" x14ac:dyDescent="0.25">
      <c r="A32" t="s">
        <v>24</v>
      </c>
      <c r="B32">
        <v>2</v>
      </c>
      <c r="C32">
        <v>0.43</v>
      </c>
    </row>
    <row r="33" spans="1:3" x14ac:dyDescent="0.25">
      <c r="A33" t="s">
        <v>24</v>
      </c>
      <c r="B33">
        <v>3</v>
      </c>
      <c r="C33">
        <v>0.46</v>
      </c>
    </row>
    <row r="34" spans="1:3" x14ac:dyDescent="0.25">
      <c r="A34" t="s">
        <v>10</v>
      </c>
      <c r="B34">
        <v>1</v>
      </c>
      <c r="C34">
        <v>0.52124999999999999</v>
      </c>
    </row>
    <row r="35" spans="1:3" x14ac:dyDescent="0.25">
      <c r="A35" t="s">
        <v>10</v>
      </c>
      <c r="B35">
        <v>2</v>
      </c>
      <c r="C35">
        <v>0.52124999999999999</v>
      </c>
    </row>
    <row r="36" spans="1:3" x14ac:dyDescent="0.25">
      <c r="A36" t="s">
        <v>10</v>
      </c>
      <c r="B36">
        <v>3</v>
      </c>
      <c r="C36">
        <v>0.52124999999999999</v>
      </c>
    </row>
    <row r="37" spans="1:3" x14ac:dyDescent="0.25">
      <c r="A37" t="s">
        <v>7</v>
      </c>
      <c r="B37">
        <v>1</v>
      </c>
      <c r="C37">
        <v>0.48</v>
      </c>
    </row>
    <row r="38" spans="1:3" x14ac:dyDescent="0.25">
      <c r="A38" t="s">
        <v>7</v>
      </c>
      <c r="B38">
        <v>2</v>
      </c>
      <c r="C38">
        <v>0.48899999999999999</v>
      </c>
    </row>
    <row r="39" spans="1:3" x14ac:dyDescent="0.25">
      <c r="A39" t="s">
        <v>7</v>
      </c>
      <c r="B39">
        <v>3</v>
      </c>
      <c r="C39">
        <v>0.498</v>
      </c>
    </row>
    <row r="40" spans="1:3" x14ac:dyDescent="0.25">
      <c r="A40" t="s">
        <v>8</v>
      </c>
      <c r="B40">
        <v>1</v>
      </c>
      <c r="C40">
        <v>0.4</v>
      </c>
    </row>
    <row r="41" spans="1:3" x14ac:dyDescent="0.25">
      <c r="A41" t="s">
        <v>8</v>
      </c>
      <c r="B41">
        <v>2</v>
      </c>
      <c r="C41">
        <v>0.40300000000000002</v>
      </c>
    </row>
    <row r="42" spans="1:3" x14ac:dyDescent="0.25">
      <c r="A42" t="s">
        <v>8</v>
      </c>
      <c r="B42">
        <v>3</v>
      </c>
      <c r="C42">
        <v>0.40500000000000003</v>
      </c>
    </row>
    <row r="43" spans="1:3" x14ac:dyDescent="0.25">
      <c r="A43" t="s">
        <v>15</v>
      </c>
      <c r="B43">
        <v>1</v>
      </c>
      <c r="C43">
        <v>0.1</v>
      </c>
    </row>
    <row r="44" spans="1:3" x14ac:dyDescent="0.25">
      <c r="A44" t="s">
        <v>15</v>
      </c>
      <c r="B44">
        <v>2</v>
      </c>
      <c r="C44">
        <v>0.1</v>
      </c>
    </row>
    <row r="45" spans="1:3" x14ac:dyDescent="0.25">
      <c r="A45" t="s">
        <v>15</v>
      </c>
      <c r="B45">
        <v>3</v>
      </c>
      <c r="C45">
        <v>0.1</v>
      </c>
    </row>
    <row r="46" spans="1:3" x14ac:dyDescent="0.25">
      <c r="A46" t="s">
        <v>16</v>
      </c>
      <c r="B46">
        <v>1</v>
      </c>
      <c r="C46">
        <v>1</v>
      </c>
    </row>
    <row r="47" spans="1:3" x14ac:dyDescent="0.25">
      <c r="A47" t="s">
        <v>16</v>
      </c>
      <c r="B47">
        <v>2</v>
      </c>
      <c r="C47">
        <v>1</v>
      </c>
    </row>
    <row r="48" spans="1:3" x14ac:dyDescent="0.25">
      <c r="A48" t="s">
        <v>16</v>
      </c>
      <c r="B48">
        <v>3</v>
      </c>
      <c r="C48">
        <v>1</v>
      </c>
    </row>
    <row r="49" spans="1:3" x14ac:dyDescent="0.25">
      <c r="A49" t="s">
        <v>17</v>
      </c>
      <c r="B49">
        <v>1</v>
      </c>
      <c r="C49">
        <v>1</v>
      </c>
    </row>
    <row r="50" spans="1:3" x14ac:dyDescent="0.25">
      <c r="A50" t="s">
        <v>17</v>
      </c>
      <c r="B50">
        <v>2</v>
      </c>
      <c r="C50">
        <v>1</v>
      </c>
    </row>
    <row r="51" spans="1:3" x14ac:dyDescent="0.25">
      <c r="A51" t="s">
        <v>17</v>
      </c>
      <c r="B51">
        <v>3</v>
      </c>
      <c r="C51">
        <v>1</v>
      </c>
    </row>
    <row r="52" spans="1:3" x14ac:dyDescent="0.25">
      <c r="A52" t="s">
        <v>1</v>
      </c>
      <c r="B52">
        <v>1</v>
      </c>
      <c r="C52">
        <v>0.35144176273493399</v>
      </c>
    </row>
    <row r="53" spans="1:3" x14ac:dyDescent="0.25">
      <c r="A53" t="s">
        <v>1</v>
      </c>
      <c r="B53">
        <v>2</v>
      </c>
      <c r="C53">
        <v>0.35355220341866744</v>
      </c>
    </row>
    <row r="54" spans="1:3" x14ac:dyDescent="0.25">
      <c r="A54" t="s">
        <v>1</v>
      </c>
      <c r="B54">
        <v>3</v>
      </c>
      <c r="C54">
        <v>0.35566264410240084</v>
      </c>
    </row>
    <row r="55" spans="1:3" x14ac:dyDescent="0.25">
      <c r="A55" t="s">
        <v>2</v>
      </c>
      <c r="B55">
        <v>1</v>
      </c>
      <c r="C55">
        <v>0.37</v>
      </c>
    </row>
    <row r="56" spans="1:3" x14ac:dyDescent="0.25">
      <c r="A56" t="s">
        <v>2</v>
      </c>
      <c r="B56">
        <v>2</v>
      </c>
      <c r="C56">
        <v>0.37</v>
      </c>
    </row>
    <row r="57" spans="1:3" x14ac:dyDescent="0.25">
      <c r="A57" t="s">
        <v>2</v>
      </c>
      <c r="B57">
        <v>3</v>
      </c>
      <c r="C57">
        <v>0.38</v>
      </c>
    </row>
    <row r="58" spans="1:3" x14ac:dyDescent="0.25">
      <c r="A58" t="s">
        <v>3</v>
      </c>
      <c r="B58">
        <v>1</v>
      </c>
      <c r="C58">
        <v>0.373</v>
      </c>
    </row>
    <row r="59" spans="1:3" x14ac:dyDescent="0.25">
      <c r="A59" t="s">
        <v>3</v>
      </c>
      <c r="B59">
        <v>2</v>
      </c>
      <c r="C59">
        <v>0.373</v>
      </c>
    </row>
    <row r="60" spans="1:3" x14ac:dyDescent="0.25">
      <c r="A60" t="s">
        <v>3</v>
      </c>
      <c r="B60">
        <v>3</v>
      </c>
      <c r="C60">
        <v>0.373</v>
      </c>
    </row>
    <row r="61" spans="1:3" x14ac:dyDescent="0.25">
      <c r="A61" t="s">
        <v>22</v>
      </c>
      <c r="B61">
        <v>1</v>
      </c>
      <c r="C61">
        <v>0.32</v>
      </c>
    </row>
    <row r="62" spans="1:3" x14ac:dyDescent="0.25">
      <c r="A62" t="s">
        <v>22</v>
      </c>
      <c r="B62">
        <v>2</v>
      </c>
      <c r="C62">
        <v>0.32</v>
      </c>
    </row>
    <row r="63" spans="1:3" x14ac:dyDescent="0.25">
      <c r="A63" t="s">
        <v>22</v>
      </c>
      <c r="B63">
        <v>3</v>
      </c>
      <c r="C63">
        <v>0.32</v>
      </c>
    </row>
    <row r="64" spans="1:3" x14ac:dyDescent="0.25">
      <c r="A64" t="s">
        <v>13</v>
      </c>
      <c r="B64">
        <v>1</v>
      </c>
      <c r="C64">
        <v>0.38</v>
      </c>
    </row>
    <row r="65" spans="1:3" x14ac:dyDescent="0.25">
      <c r="A65" t="s">
        <v>13</v>
      </c>
      <c r="B65">
        <v>2</v>
      </c>
      <c r="C65">
        <v>0.38</v>
      </c>
    </row>
    <row r="66" spans="1:3" x14ac:dyDescent="0.25">
      <c r="A66" t="s">
        <v>13</v>
      </c>
      <c r="B66">
        <v>3</v>
      </c>
      <c r="C66">
        <v>0.38</v>
      </c>
    </row>
    <row r="67" spans="1:3" x14ac:dyDescent="0.25">
      <c r="A67" t="s">
        <v>11</v>
      </c>
      <c r="B67">
        <v>1</v>
      </c>
      <c r="C67">
        <v>0.376</v>
      </c>
    </row>
    <row r="68" spans="1:3" x14ac:dyDescent="0.25">
      <c r="A68" t="s">
        <v>11</v>
      </c>
      <c r="B68">
        <v>2</v>
      </c>
      <c r="C68">
        <v>0.376</v>
      </c>
    </row>
    <row r="69" spans="1:3" x14ac:dyDescent="0.25">
      <c r="A69" t="s">
        <v>11</v>
      </c>
      <c r="B69">
        <v>3</v>
      </c>
      <c r="C69">
        <v>0.376</v>
      </c>
    </row>
    <row r="70" spans="1:3" x14ac:dyDescent="0.25">
      <c r="A70" t="s">
        <v>21</v>
      </c>
      <c r="B70">
        <v>1</v>
      </c>
      <c r="C70">
        <v>1</v>
      </c>
    </row>
    <row r="71" spans="1:3" x14ac:dyDescent="0.25">
      <c r="A71" t="s">
        <v>21</v>
      </c>
      <c r="B71">
        <v>2</v>
      </c>
      <c r="C71">
        <v>1</v>
      </c>
    </row>
    <row r="72" spans="1:3" x14ac:dyDescent="0.25">
      <c r="A72" t="s">
        <v>21</v>
      </c>
      <c r="B72">
        <v>3</v>
      </c>
      <c r="C72">
        <v>1</v>
      </c>
    </row>
    <row r="73" spans="1:3" x14ac:dyDescent="0.25">
      <c r="A73" t="s">
        <v>14</v>
      </c>
      <c r="B73">
        <v>1</v>
      </c>
      <c r="C73">
        <v>1</v>
      </c>
    </row>
    <row r="74" spans="1:3" x14ac:dyDescent="0.25">
      <c r="A74" t="s">
        <v>14</v>
      </c>
      <c r="B74">
        <v>2</v>
      </c>
      <c r="C74">
        <v>1</v>
      </c>
    </row>
    <row r="75" spans="1:3" x14ac:dyDescent="0.25">
      <c r="A75" t="s">
        <v>14</v>
      </c>
      <c r="B75">
        <v>3</v>
      </c>
      <c r="C75">
        <v>1</v>
      </c>
    </row>
    <row r="76" spans="1:3" x14ac:dyDescent="0.25">
      <c r="A76" t="s">
        <v>20</v>
      </c>
      <c r="B76">
        <v>1</v>
      </c>
      <c r="C76">
        <v>1</v>
      </c>
    </row>
    <row r="77" spans="1:3" x14ac:dyDescent="0.25">
      <c r="A77" t="s">
        <v>20</v>
      </c>
      <c r="B77">
        <v>2</v>
      </c>
      <c r="C77">
        <v>1</v>
      </c>
    </row>
    <row r="78" spans="1:3" x14ac:dyDescent="0.25">
      <c r="A78" t="s">
        <v>20</v>
      </c>
      <c r="B78">
        <v>3</v>
      </c>
      <c r="C78">
        <v>1</v>
      </c>
    </row>
    <row r="79" spans="1:3" x14ac:dyDescent="0.25">
      <c r="A79" t="s">
        <v>19</v>
      </c>
      <c r="B79">
        <v>1</v>
      </c>
      <c r="C79">
        <v>1</v>
      </c>
    </row>
    <row r="80" spans="1:3" x14ac:dyDescent="0.25">
      <c r="A80" t="s">
        <v>19</v>
      </c>
      <c r="B80">
        <v>2</v>
      </c>
      <c r="C80">
        <v>1</v>
      </c>
    </row>
    <row r="81" spans="1:3" x14ac:dyDescent="0.25">
      <c r="A81" t="s">
        <v>19</v>
      </c>
      <c r="B81">
        <v>3</v>
      </c>
      <c r="C81">
        <v>1</v>
      </c>
    </row>
    <row r="82" spans="1:3" x14ac:dyDescent="0.25">
      <c r="A82" t="s">
        <v>87</v>
      </c>
      <c r="B82">
        <v>1</v>
      </c>
      <c r="C82">
        <v>0.33</v>
      </c>
    </row>
    <row r="83" spans="1:3" x14ac:dyDescent="0.25">
      <c r="A83" t="s">
        <v>87</v>
      </c>
      <c r="B83">
        <v>2</v>
      </c>
      <c r="C83">
        <v>0.33</v>
      </c>
    </row>
    <row r="84" spans="1:3" x14ac:dyDescent="0.25">
      <c r="A84" t="s">
        <v>87</v>
      </c>
      <c r="B84">
        <v>3</v>
      </c>
      <c r="C84">
        <v>0.34</v>
      </c>
    </row>
  </sheetData>
  <autoFilter ref="A2:C84" xr:uid="{BB805D41-E1AF-43B0-AE28-2A83EE5106E2}">
    <sortState xmlns:xlrd2="http://schemas.microsoft.com/office/spreadsheetml/2017/richdata2" ref="A3:C81">
      <sortCondition ref="A2:A81"/>
    </sortState>
  </autoFilter>
  <sortState xmlns:xlrd2="http://schemas.microsoft.com/office/spreadsheetml/2017/richdata2" ref="A6:C81">
    <sortCondition ref="A6:A81"/>
  </sortState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400BD-A778-40FF-A8F9-47E40AF2D6E4}">
  <dimension ref="A1:F35"/>
  <sheetViews>
    <sheetView workbookViewId="0">
      <selection activeCell="C8" sqref="C8"/>
    </sheetView>
  </sheetViews>
  <sheetFormatPr defaultColWidth="13.7109375" defaultRowHeight="15" x14ac:dyDescent="0.25"/>
  <cols>
    <col min="3" max="3" width="32.85546875" style="18" bestFit="1" customWidth="1"/>
  </cols>
  <sheetData>
    <row r="1" spans="1:6" x14ac:dyDescent="0.25">
      <c r="A1" t="s">
        <v>86</v>
      </c>
    </row>
    <row r="2" spans="1:6" x14ac:dyDescent="0.25">
      <c r="A2" t="s">
        <v>85</v>
      </c>
      <c r="C2"/>
      <c r="E2" s="20"/>
      <c r="F2" t="s">
        <v>88</v>
      </c>
    </row>
    <row r="3" spans="1:6" x14ac:dyDescent="0.25">
      <c r="A3" t="s">
        <v>31</v>
      </c>
      <c r="B3" t="s">
        <v>29</v>
      </c>
      <c r="C3" t="s">
        <v>54</v>
      </c>
      <c r="E3" s="21"/>
      <c r="F3" t="s">
        <v>89</v>
      </c>
    </row>
    <row r="4" spans="1:6" x14ac:dyDescent="0.25">
      <c r="A4" t="s">
        <v>27</v>
      </c>
      <c r="B4" t="s">
        <v>1</v>
      </c>
      <c r="C4" s="21">
        <f>21110+1361</f>
        <v>22471</v>
      </c>
      <c r="E4" s="19"/>
    </row>
    <row r="5" spans="1:6" x14ac:dyDescent="0.25">
      <c r="A5" t="s">
        <v>27</v>
      </c>
      <c r="B5" t="s">
        <v>4</v>
      </c>
      <c r="C5">
        <v>24645</v>
      </c>
      <c r="E5" s="19"/>
    </row>
    <row r="6" spans="1:6" x14ac:dyDescent="0.25">
      <c r="A6" t="s">
        <v>27</v>
      </c>
      <c r="B6" t="s">
        <v>7</v>
      </c>
      <c r="C6">
        <v>31614</v>
      </c>
      <c r="E6" s="19"/>
    </row>
    <row r="7" spans="1:6" x14ac:dyDescent="0.25">
      <c r="A7" t="s">
        <v>27</v>
      </c>
      <c r="B7" t="s">
        <v>11</v>
      </c>
      <c r="C7">
        <v>4440</v>
      </c>
      <c r="E7" s="19"/>
    </row>
    <row r="8" spans="1:6" x14ac:dyDescent="0.25">
      <c r="A8" t="s">
        <v>27</v>
      </c>
      <c r="B8" t="s">
        <v>12</v>
      </c>
      <c r="C8" s="22">
        <f>7570+472</f>
        <v>8042</v>
      </c>
      <c r="E8" s="19"/>
    </row>
    <row r="9" spans="1:6" x14ac:dyDescent="0.25">
      <c r="A9" t="s">
        <v>27</v>
      </c>
      <c r="B9" t="s">
        <v>13</v>
      </c>
      <c r="C9">
        <v>9516</v>
      </c>
      <c r="E9" s="19"/>
    </row>
    <row r="10" spans="1:6" x14ac:dyDescent="0.25">
      <c r="A10" t="s">
        <v>27</v>
      </c>
      <c r="B10" t="s">
        <v>15</v>
      </c>
      <c r="C10">
        <v>42</v>
      </c>
      <c r="E10" s="19"/>
    </row>
    <row r="11" spans="1:6" x14ac:dyDescent="0.25">
      <c r="A11" t="s">
        <v>27</v>
      </c>
      <c r="B11" t="s">
        <v>16</v>
      </c>
      <c r="C11">
        <f>1062+205</f>
        <v>1267</v>
      </c>
      <c r="E11" s="19"/>
    </row>
    <row r="12" spans="1:6" x14ac:dyDescent="0.25">
      <c r="A12" t="s">
        <v>27</v>
      </c>
      <c r="B12" t="s">
        <v>17</v>
      </c>
      <c r="C12">
        <v>3781</v>
      </c>
      <c r="E12" s="19"/>
    </row>
    <row r="13" spans="1:6" x14ac:dyDescent="0.25">
      <c r="A13" t="s">
        <v>27</v>
      </c>
      <c r="B13" t="s">
        <v>19</v>
      </c>
      <c r="C13">
        <v>51844</v>
      </c>
      <c r="E13" s="19"/>
    </row>
    <row r="14" spans="1:6" x14ac:dyDescent="0.25">
      <c r="A14" t="s">
        <v>27</v>
      </c>
      <c r="B14" t="s">
        <v>87</v>
      </c>
      <c r="C14">
        <f>892+892</f>
        <v>1784</v>
      </c>
      <c r="E14" s="19"/>
    </row>
    <row r="15" spans="1:6" x14ac:dyDescent="0.25">
      <c r="A15" t="s">
        <v>27</v>
      </c>
      <c r="B15" t="s">
        <v>20</v>
      </c>
      <c r="C15">
        <v>6385</v>
      </c>
      <c r="E15" s="19"/>
    </row>
    <row r="16" spans="1:6" x14ac:dyDescent="0.25">
      <c r="A16" t="s">
        <v>27</v>
      </c>
      <c r="B16" t="s">
        <v>21</v>
      </c>
      <c r="C16">
        <v>43922</v>
      </c>
      <c r="E16" s="19"/>
    </row>
    <row r="17" spans="1:5" x14ac:dyDescent="0.25">
      <c r="A17" t="s">
        <v>28</v>
      </c>
      <c r="B17" t="s">
        <v>4</v>
      </c>
      <c r="C17" s="21">
        <f>3656+44</f>
        <v>3700</v>
      </c>
      <c r="E17" s="19"/>
    </row>
    <row r="18" spans="1:5" x14ac:dyDescent="0.25">
      <c r="A18" t="s">
        <v>28</v>
      </c>
      <c r="B18" t="s">
        <v>7</v>
      </c>
      <c r="C18">
        <v>1829</v>
      </c>
      <c r="E18" s="19"/>
    </row>
    <row r="19" spans="1:5" x14ac:dyDescent="0.25">
      <c r="A19" t="s">
        <v>28</v>
      </c>
      <c r="B19" t="s">
        <v>11</v>
      </c>
      <c r="C19">
        <v>1007</v>
      </c>
      <c r="E19" s="19"/>
    </row>
    <row r="20" spans="1:5" x14ac:dyDescent="0.25">
      <c r="A20" t="s">
        <v>28</v>
      </c>
      <c r="B20" t="s">
        <v>12</v>
      </c>
      <c r="C20">
        <f>1954+112</f>
        <v>2066</v>
      </c>
      <c r="E20" s="19"/>
    </row>
    <row r="21" spans="1:5" x14ac:dyDescent="0.25">
      <c r="A21" t="s">
        <v>28</v>
      </c>
      <c r="B21" t="s">
        <v>17</v>
      </c>
      <c r="C21">
        <v>7</v>
      </c>
      <c r="E21" s="19"/>
    </row>
    <row r="22" spans="1:5" x14ac:dyDescent="0.25">
      <c r="A22" t="s">
        <v>28</v>
      </c>
      <c r="B22" t="s">
        <v>19</v>
      </c>
      <c r="C22">
        <v>4423</v>
      </c>
      <c r="E22" s="19"/>
    </row>
    <row r="23" spans="1:5" x14ac:dyDescent="0.25">
      <c r="A23" t="s">
        <v>28</v>
      </c>
      <c r="B23" t="s">
        <v>87</v>
      </c>
      <c r="C23">
        <v>323</v>
      </c>
      <c r="E23" s="19"/>
    </row>
    <row r="24" spans="1:5" x14ac:dyDescent="0.25">
      <c r="A24" t="s">
        <v>28</v>
      </c>
      <c r="B24" t="s">
        <v>20</v>
      </c>
      <c r="C24">
        <v>1701</v>
      </c>
      <c r="E24" s="19"/>
    </row>
    <row r="25" spans="1:5" x14ac:dyDescent="0.25">
      <c r="A25" t="s">
        <v>28</v>
      </c>
      <c r="B25" t="s">
        <v>21</v>
      </c>
      <c r="C25">
        <v>1000</v>
      </c>
      <c r="E25" s="19"/>
    </row>
    <row r="26" spans="1:5" x14ac:dyDescent="0.25">
      <c r="A26" t="s">
        <v>30</v>
      </c>
      <c r="B26" t="s">
        <v>4</v>
      </c>
      <c r="C26">
        <v>2997</v>
      </c>
      <c r="E26" s="19"/>
    </row>
    <row r="27" spans="1:5" x14ac:dyDescent="0.25">
      <c r="A27" t="s">
        <v>30</v>
      </c>
      <c r="B27" t="s">
        <v>7</v>
      </c>
      <c r="C27">
        <v>12151</v>
      </c>
      <c r="E27" s="19"/>
    </row>
    <row r="28" spans="1:5" x14ac:dyDescent="0.25">
      <c r="A28" t="s">
        <v>30</v>
      </c>
      <c r="B28" t="s">
        <v>11</v>
      </c>
      <c r="C28">
        <v>3441</v>
      </c>
      <c r="E28" s="19"/>
    </row>
    <row r="29" spans="1:5" x14ac:dyDescent="0.25">
      <c r="A29" t="s">
        <v>30</v>
      </c>
      <c r="B29" t="s">
        <v>87</v>
      </c>
      <c r="C29">
        <v>883</v>
      </c>
      <c r="E29" s="19"/>
    </row>
    <row r="30" spans="1:5" x14ac:dyDescent="0.25">
      <c r="A30" t="s">
        <v>30</v>
      </c>
      <c r="B30" t="s">
        <v>12</v>
      </c>
      <c r="C30" s="22">
        <f>691+452+1728</f>
        <v>2871</v>
      </c>
      <c r="E30" s="19"/>
    </row>
    <row r="31" spans="1:5" x14ac:dyDescent="0.25">
      <c r="A31" t="s">
        <v>30</v>
      </c>
      <c r="B31" t="s">
        <v>13</v>
      </c>
      <c r="C31">
        <v>63130</v>
      </c>
      <c r="E31" s="19"/>
    </row>
    <row r="32" spans="1:5" x14ac:dyDescent="0.25">
      <c r="A32" t="s">
        <v>30</v>
      </c>
      <c r="B32" t="s">
        <v>14</v>
      </c>
      <c r="C32">
        <v>240</v>
      </c>
      <c r="E32" s="19"/>
    </row>
    <row r="33" spans="1:5" x14ac:dyDescent="0.25">
      <c r="A33" t="s">
        <v>30</v>
      </c>
      <c r="B33" t="s">
        <v>17</v>
      </c>
      <c r="C33">
        <v>21092</v>
      </c>
      <c r="E33" s="19"/>
    </row>
    <row r="34" spans="1:5" x14ac:dyDescent="0.25">
      <c r="A34" t="s">
        <v>30</v>
      </c>
      <c r="B34" t="s">
        <v>19</v>
      </c>
      <c r="C34">
        <v>15084</v>
      </c>
      <c r="E34" s="19"/>
    </row>
    <row r="35" spans="1:5" x14ac:dyDescent="0.25">
      <c r="A35" t="s">
        <v>30</v>
      </c>
      <c r="B35" t="s">
        <v>21</v>
      </c>
      <c r="C35">
        <v>8526</v>
      </c>
      <c r="E35" s="19"/>
    </row>
  </sheetData>
  <autoFilter ref="A1:C35" xr:uid="{BF57B14D-7BEE-477E-9F48-7CE3A3F9031B}"/>
  <phoneticPr fontId="5" type="noConversion"/>
  <conditionalFormatting sqref="E4:E35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59718-F383-44D5-9469-41FBA9506C0A}">
  <dimension ref="A1:D146"/>
  <sheetViews>
    <sheetView workbookViewId="0">
      <selection activeCell="A16" sqref="A16"/>
    </sheetView>
  </sheetViews>
  <sheetFormatPr defaultColWidth="11.42578125" defaultRowHeight="15" x14ac:dyDescent="0.25"/>
  <cols>
    <col min="1" max="1" width="31.42578125" customWidth="1"/>
    <col min="2" max="2" width="8.5703125" customWidth="1"/>
    <col min="3" max="3" width="29.85546875" bestFit="1" customWidth="1"/>
    <col min="4" max="4" width="19.140625" bestFit="1" customWidth="1"/>
  </cols>
  <sheetData>
    <row r="1" spans="1:4" x14ac:dyDescent="0.25">
      <c r="A1" t="s">
        <v>58</v>
      </c>
    </row>
    <row r="2" spans="1:4" x14ac:dyDescent="0.25">
      <c r="A2" t="s">
        <v>91</v>
      </c>
    </row>
    <row r="3" spans="1:4" x14ac:dyDescent="0.25">
      <c r="A3" t="s">
        <v>29</v>
      </c>
      <c r="B3" t="s">
        <v>0</v>
      </c>
      <c r="C3" t="s">
        <v>53</v>
      </c>
      <c r="D3" t="s">
        <v>57</v>
      </c>
    </row>
    <row r="4" spans="1:4" x14ac:dyDescent="0.25">
      <c r="A4" t="s">
        <v>1</v>
      </c>
      <c r="B4">
        <v>2</v>
      </c>
      <c r="C4" s="2">
        <v>0.38461538461538458</v>
      </c>
      <c r="D4" t="s">
        <v>55</v>
      </c>
    </row>
    <row r="5" spans="1:4" x14ac:dyDescent="0.25">
      <c r="A5" t="s">
        <v>4</v>
      </c>
      <c r="B5">
        <v>2</v>
      </c>
      <c r="C5" s="2">
        <v>0.38461538461538458</v>
      </c>
      <c r="D5" t="s">
        <v>55</v>
      </c>
    </row>
    <row r="6" spans="1:4" x14ac:dyDescent="0.25">
      <c r="A6" t="s">
        <v>7</v>
      </c>
      <c r="B6">
        <v>2</v>
      </c>
      <c r="C6" s="2">
        <v>0.3173076923076924</v>
      </c>
      <c r="D6" t="s">
        <v>55</v>
      </c>
    </row>
    <row r="7" spans="1:4" x14ac:dyDescent="0.25">
      <c r="A7" t="s">
        <v>11</v>
      </c>
      <c r="B7">
        <v>2</v>
      </c>
      <c r="C7" s="2">
        <v>0.44444444444444409</v>
      </c>
      <c r="D7" t="s">
        <v>55</v>
      </c>
    </row>
    <row r="8" spans="1:4" x14ac:dyDescent="0.25">
      <c r="A8" t="s">
        <v>12</v>
      </c>
      <c r="B8">
        <v>2</v>
      </c>
      <c r="C8" s="2">
        <v>0.2857142857142857</v>
      </c>
      <c r="D8" t="s">
        <v>56</v>
      </c>
    </row>
    <row r="9" spans="1:4" x14ac:dyDescent="0.25">
      <c r="A9" t="s">
        <v>13</v>
      </c>
      <c r="B9">
        <v>2</v>
      </c>
      <c r="C9" s="2">
        <v>0.2857142857142857</v>
      </c>
      <c r="D9" t="s">
        <v>56</v>
      </c>
    </row>
    <row r="10" spans="1:4" x14ac:dyDescent="0.25">
      <c r="A10" t="s">
        <v>1</v>
      </c>
      <c r="B10">
        <v>3</v>
      </c>
      <c r="C10" s="2">
        <v>0.58653846153846156</v>
      </c>
      <c r="D10" t="s">
        <v>55</v>
      </c>
    </row>
    <row r="11" spans="1:4" x14ac:dyDescent="0.25">
      <c r="A11" t="s">
        <v>4</v>
      </c>
      <c r="B11">
        <v>3</v>
      </c>
      <c r="C11" s="2">
        <v>0.58653846153846156</v>
      </c>
      <c r="D11" t="s">
        <v>55</v>
      </c>
    </row>
    <row r="12" spans="1:4" x14ac:dyDescent="0.25">
      <c r="A12" t="s">
        <v>7</v>
      </c>
      <c r="B12">
        <v>3</v>
      </c>
      <c r="C12" s="2">
        <v>0.57692307692307698</v>
      </c>
      <c r="D12" t="s">
        <v>55</v>
      </c>
    </row>
    <row r="13" spans="1:4" x14ac:dyDescent="0.25">
      <c r="A13" t="s">
        <v>11</v>
      </c>
      <c r="B13">
        <v>3</v>
      </c>
      <c r="C13" s="2">
        <v>0.66666666666666652</v>
      </c>
      <c r="D13" t="s">
        <v>55</v>
      </c>
    </row>
    <row r="14" spans="1:4" x14ac:dyDescent="0.25">
      <c r="A14" t="s">
        <v>12</v>
      </c>
      <c r="B14">
        <v>3</v>
      </c>
      <c r="C14" s="2">
        <v>0.42857142857142855</v>
      </c>
      <c r="D14" t="s">
        <v>56</v>
      </c>
    </row>
    <row r="15" spans="1:4" x14ac:dyDescent="0.25">
      <c r="A15" t="s">
        <v>13</v>
      </c>
      <c r="B15">
        <v>3</v>
      </c>
      <c r="C15" s="2">
        <v>0.42857142857142855</v>
      </c>
      <c r="D15" t="s">
        <v>56</v>
      </c>
    </row>
    <row r="16" spans="1:4" x14ac:dyDescent="0.25">
      <c r="C16" s="2"/>
    </row>
    <row r="17" spans="3:3" x14ac:dyDescent="0.25">
      <c r="C17" s="2"/>
    </row>
    <row r="18" spans="3:3" x14ac:dyDescent="0.25">
      <c r="C18" s="2"/>
    </row>
    <row r="19" spans="3:3" x14ac:dyDescent="0.25">
      <c r="C19" s="2"/>
    </row>
    <row r="20" spans="3:3" x14ac:dyDescent="0.25">
      <c r="C20" s="2"/>
    </row>
    <row r="21" spans="3:3" x14ac:dyDescent="0.25">
      <c r="C21" s="2"/>
    </row>
    <row r="22" spans="3:3" x14ac:dyDescent="0.25">
      <c r="C22" s="2"/>
    </row>
    <row r="23" spans="3:3" x14ac:dyDescent="0.25">
      <c r="C23" s="2"/>
    </row>
    <row r="24" spans="3:3" x14ac:dyDescent="0.25">
      <c r="C24" s="2"/>
    </row>
    <row r="25" spans="3:3" x14ac:dyDescent="0.25">
      <c r="C25" s="2"/>
    </row>
    <row r="26" spans="3:3" x14ac:dyDescent="0.25">
      <c r="C26" s="2"/>
    </row>
    <row r="27" spans="3:3" x14ac:dyDescent="0.25">
      <c r="C27" s="2"/>
    </row>
    <row r="28" spans="3:3" x14ac:dyDescent="0.25">
      <c r="C28" s="2"/>
    </row>
    <row r="29" spans="3:3" x14ac:dyDescent="0.25">
      <c r="C29" s="2"/>
    </row>
    <row r="30" spans="3:3" x14ac:dyDescent="0.25">
      <c r="C30" s="2"/>
    </row>
    <row r="31" spans="3:3" x14ac:dyDescent="0.25">
      <c r="C31" s="2"/>
    </row>
    <row r="32" spans="3:3" x14ac:dyDescent="0.25">
      <c r="C32" s="2"/>
    </row>
    <row r="33" spans="3:3" x14ac:dyDescent="0.25">
      <c r="C33" s="2"/>
    </row>
    <row r="34" spans="3:3" x14ac:dyDescent="0.25">
      <c r="C34" s="2"/>
    </row>
    <row r="35" spans="3:3" x14ac:dyDescent="0.25">
      <c r="C35" s="2"/>
    </row>
    <row r="36" spans="3:3" x14ac:dyDescent="0.25">
      <c r="C36" s="2"/>
    </row>
    <row r="37" spans="3:3" x14ac:dyDescent="0.25">
      <c r="C37" s="2"/>
    </row>
    <row r="38" spans="3:3" x14ac:dyDescent="0.25">
      <c r="C38" s="2"/>
    </row>
    <row r="39" spans="3:3" x14ac:dyDescent="0.25">
      <c r="C39" s="2"/>
    </row>
    <row r="40" spans="3:3" x14ac:dyDescent="0.25">
      <c r="C40" s="2"/>
    </row>
    <row r="41" spans="3:3" x14ac:dyDescent="0.25">
      <c r="C41" s="2"/>
    </row>
    <row r="42" spans="3:3" x14ac:dyDescent="0.25">
      <c r="C42" s="2"/>
    </row>
    <row r="43" spans="3:3" x14ac:dyDescent="0.25">
      <c r="C43" s="2"/>
    </row>
    <row r="44" spans="3:3" x14ac:dyDescent="0.25">
      <c r="C44" s="2"/>
    </row>
    <row r="45" spans="3:3" x14ac:dyDescent="0.25">
      <c r="C45" s="2"/>
    </row>
    <row r="46" spans="3:3" x14ac:dyDescent="0.25">
      <c r="C46" s="2"/>
    </row>
    <row r="47" spans="3:3" x14ac:dyDescent="0.25">
      <c r="C47" s="2"/>
    </row>
    <row r="48" spans="3:3" x14ac:dyDescent="0.25">
      <c r="C48" s="2"/>
    </row>
    <row r="49" spans="3:3" x14ac:dyDescent="0.25">
      <c r="C49" s="2"/>
    </row>
    <row r="50" spans="3:3" x14ac:dyDescent="0.25">
      <c r="C50" s="2"/>
    </row>
    <row r="51" spans="3:3" x14ac:dyDescent="0.25">
      <c r="C51" s="2"/>
    </row>
    <row r="52" spans="3:3" x14ac:dyDescent="0.25">
      <c r="C52" s="2"/>
    </row>
    <row r="53" spans="3:3" x14ac:dyDescent="0.25">
      <c r="C53" s="2"/>
    </row>
    <row r="54" spans="3:3" x14ac:dyDescent="0.25">
      <c r="C54" s="2"/>
    </row>
    <row r="55" spans="3:3" x14ac:dyDescent="0.25">
      <c r="C55" s="2"/>
    </row>
    <row r="56" spans="3:3" x14ac:dyDescent="0.25">
      <c r="C56" s="2"/>
    </row>
    <row r="57" spans="3:3" x14ac:dyDescent="0.25">
      <c r="C57" s="2"/>
    </row>
    <row r="58" spans="3:3" x14ac:dyDescent="0.25">
      <c r="C58" s="2"/>
    </row>
    <row r="59" spans="3:3" x14ac:dyDescent="0.25">
      <c r="C59" s="2"/>
    </row>
    <row r="60" spans="3:3" x14ac:dyDescent="0.25">
      <c r="C60" s="2"/>
    </row>
    <row r="61" spans="3:3" x14ac:dyDescent="0.25">
      <c r="C61" s="2"/>
    </row>
    <row r="62" spans="3:3" x14ac:dyDescent="0.25">
      <c r="C62" s="2"/>
    </row>
    <row r="63" spans="3:3" x14ac:dyDescent="0.25">
      <c r="C63" s="2"/>
    </row>
    <row r="64" spans="3:3" x14ac:dyDescent="0.25">
      <c r="C64" s="2"/>
    </row>
    <row r="65" spans="3:3" x14ac:dyDescent="0.25">
      <c r="C65" s="2"/>
    </row>
    <row r="66" spans="3:3" x14ac:dyDescent="0.25">
      <c r="C66" s="2"/>
    </row>
    <row r="67" spans="3:3" x14ac:dyDescent="0.25">
      <c r="C67" s="2"/>
    </row>
    <row r="68" spans="3:3" x14ac:dyDescent="0.25">
      <c r="C68" s="2"/>
    </row>
    <row r="69" spans="3:3" x14ac:dyDescent="0.25">
      <c r="C69" s="2"/>
    </row>
    <row r="70" spans="3:3" x14ac:dyDescent="0.25">
      <c r="C70" s="2"/>
    </row>
    <row r="71" spans="3:3" x14ac:dyDescent="0.25">
      <c r="C71" s="2"/>
    </row>
    <row r="72" spans="3:3" x14ac:dyDescent="0.25">
      <c r="C72" s="2"/>
    </row>
    <row r="73" spans="3:3" x14ac:dyDescent="0.25">
      <c r="C73" s="2"/>
    </row>
    <row r="74" spans="3:3" x14ac:dyDescent="0.25">
      <c r="C74" s="2"/>
    </row>
    <row r="75" spans="3:3" x14ac:dyDescent="0.25">
      <c r="C75" s="2"/>
    </row>
    <row r="76" spans="3:3" x14ac:dyDescent="0.25">
      <c r="C76" s="2"/>
    </row>
    <row r="77" spans="3:3" x14ac:dyDescent="0.25">
      <c r="C77" s="2"/>
    </row>
    <row r="78" spans="3:3" x14ac:dyDescent="0.25">
      <c r="C78" s="2"/>
    </row>
    <row r="79" spans="3:3" x14ac:dyDescent="0.25">
      <c r="C79" s="2"/>
    </row>
    <row r="80" spans="3:3" x14ac:dyDescent="0.25">
      <c r="C80" s="2"/>
    </row>
    <row r="81" spans="3:3" x14ac:dyDescent="0.25">
      <c r="C81" s="2"/>
    </row>
    <row r="82" spans="3:3" x14ac:dyDescent="0.25">
      <c r="C82" s="2"/>
    </row>
    <row r="83" spans="3:3" x14ac:dyDescent="0.25">
      <c r="C83" s="2"/>
    </row>
    <row r="84" spans="3:3" x14ac:dyDescent="0.25">
      <c r="C84" s="2"/>
    </row>
    <row r="85" spans="3:3" x14ac:dyDescent="0.25">
      <c r="C85" s="2"/>
    </row>
    <row r="86" spans="3:3" x14ac:dyDescent="0.25">
      <c r="C86" s="2"/>
    </row>
    <row r="87" spans="3:3" x14ac:dyDescent="0.25">
      <c r="C87" s="2"/>
    </row>
    <row r="88" spans="3:3" x14ac:dyDescent="0.25">
      <c r="C88" s="2"/>
    </row>
    <row r="89" spans="3:3" x14ac:dyDescent="0.25">
      <c r="C89" s="2"/>
    </row>
    <row r="90" spans="3:3" x14ac:dyDescent="0.25">
      <c r="C90" s="2"/>
    </row>
    <row r="91" spans="3:3" x14ac:dyDescent="0.25">
      <c r="C91" s="2"/>
    </row>
    <row r="92" spans="3:3" x14ac:dyDescent="0.25">
      <c r="C92" s="2"/>
    </row>
    <row r="93" spans="3:3" x14ac:dyDescent="0.25">
      <c r="C93" s="2"/>
    </row>
    <row r="94" spans="3:3" x14ac:dyDescent="0.25">
      <c r="C94" s="2"/>
    </row>
    <row r="95" spans="3:3" x14ac:dyDescent="0.25">
      <c r="C95" s="2"/>
    </row>
    <row r="96" spans="3:3" x14ac:dyDescent="0.25">
      <c r="C96" s="2"/>
    </row>
    <row r="97" spans="3:3" x14ac:dyDescent="0.25">
      <c r="C97" s="2"/>
    </row>
    <row r="98" spans="3:3" x14ac:dyDescent="0.25">
      <c r="C98" s="2"/>
    </row>
    <row r="99" spans="3:3" x14ac:dyDescent="0.25">
      <c r="C99" s="2"/>
    </row>
    <row r="100" spans="3:3" x14ac:dyDescent="0.25">
      <c r="C100" s="2"/>
    </row>
    <row r="101" spans="3:3" x14ac:dyDescent="0.25">
      <c r="C101" s="2"/>
    </row>
    <row r="102" spans="3:3" x14ac:dyDescent="0.25">
      <c r="C102" s="2"/>
    </row>
    <row r="103" spans="3:3" x14ac:dyDescent="0.25">
      <c r="C103" s="2"/>
    </row>
    <row r="104" spans="3:3" x14ac:dyDescent="0.25">
      <c r="C104" s="2"/>
    </row>
    <row r="105" spans="3:3" x14ac:dyDescent="0.25">
      <c r="C105" s="2"/>
    </row>
    <row r="106" spans="3:3" x14ac:dyDescent="0.25">
      <c r="C106" s="2"/>
    </row>
    <row r="107" spans="3:3" x14ac:dyDescent="0.25">
      <c r="C107" s="2"/>
    </row>
    <row r="108" spans="3:3" x14ac:dyDescent="0.25">
      <c r="C108" s="2"/>
    </row>
    <row r="109" spans="3:3" x14ac:dyDescent="0.25">
      <c r="C109" s="2"/>
    </row>
    <row r="110" spans="3:3" x14ac:dyDescent="0.25">
      <c r="C110" s="2"/>
    </row>
    <row r="111" spans="3:3" x14ac:dyDescent="0.25">
      <c r="C111" s="2"/>
    </row>
    <row r="112" spans="3:3" x14ac:dyDescent="0.25">
      <c r="C112" s="2"/>
    </row>
    <row r="113" spans="3:3" x14ac:dyDescent="0.25">
      <c r="C113" s="2"/>
    </row>
    <row r="114" spans="3:3" x14ac:dyDescent="0.25">
      <c r="C114" s="2"/>
    </row>
    <row r="115" spans="3:3" x14ac:dyDescent="0.25">
      <c r="C115" s="2"/>
    </row>
    <row r="116" spans="3:3" x14ac:dyDescent="0.25">
      <c r="C116" s="2"/>
    </row>
    <row r="117" spans="3:3" x14ac:dyDescent="0.25">
      <c r="C117" s="2"/>
    </row>
    <row r="118" spans="3:3" x14ac:dyDescent="0.25">
      <c r="C118" s="2"/>
    </row>
    <row r="119" spans="3:3" x14ac:dyDescent="0.25">
      <c r="C119" s="2"/>
    </row>
    <row r="120" spans="3:3" x14ac:dyDescent="0.25">
      <c r="C120" s="2"/>
    </row>
    <row r="121" spans="3:3" x14ac:dyDescent="0.25">
      <c r="C121" s="2"/>
    </row>
    <row r="122" spans="3:3" x14ac:dyDescent="0.25">
      <c r="C122" s="2"/>
    </row>
    <row r="123" spans="3:3" x14ac:dyDescent="0.25">
      <c r="C123" s="2"/>
    </row>
    <row r="124" spans="3:3" x14ac:dyDescent="0.25">
      <c r="C124" s="2"/>
    </row>
    <row r="125" spans="3:3" x14ac:dyDescent="0.25">
      <c r="C125" s="2"/>
    </row>
    <row r="126" spans="3:3" x14ac:dyDescent="0.25">
      <c r="C126" s="2"/>
    </row>
    <row r="127" spans="3:3" x14ac:dyDescent="0.25">
      <c r="C127" s="2"/>
    </row>
    <row r="128" spans="3:3" x14ac:dyDescent="0.25">
      <c r="C128" s="2"/>
    </row>
    <row r="129" spans="3:3" x14ac:dyDescent="0.25">
      <c r="C129" s="2"/>
    </row>
    <row r="130" spans="3:3" x14ac:dyDescent="0.25">
      <c r="C130" s="2"/>
    </row>
    <row r="131" spans="3:3" x14ac:dyDescent="0.25">
      <c r="C131" s="2"/>
    </row>
    <row r="132" spans="3:3" x14ac:dyDescent="0.25">
      <c r="C132" s="2"/>
    </row>
    <row r="133" spans="3:3" x14ac:dyDescent="0.25">
      <c r="C133" s="2"/>
    </row>
    <row r="134" spans="3:3" x14ac:dyDescent="0.25">
      <c r="C134" s="2"/>
    </row>
    <row r="135" spans="3:3" x14ac:dyDescent="0.25">
      <c r="C135" s="2"/>
    </row>
    <row r="136" spans="3:3" x14ac:dyDescent="0.25">
      <c r="C136" s="2"/>
    </row>
    <row r="137" spans="3:3" x14ac:dyDescent="0.25">
      <c r="C137" s="2"/>
    </row>
    <row r="138" spans="3:3" x14ac:dyDescent="0.25">
      <c r="C138" s="2"/>
    </row>
    <row r="139" spans="3:3" x14ac:dyDescent="0.25">
      <c r="C139" s="2"/>
    </row>
    <row r="140" spans="3:3" x14ac:dyDescent="0.25">
      <c r="C140" s="2"/>
    </row>
    <row r="141" spans="3:3" x14ac:dyDescent="0.25">
      <c r="C141" s="2"/>
    </row>
    <row r="142" spans="3:3" x14ac:dyDescent="0.25">
      <c r="C142" s="2"/>
    </row>
    <row r="143" spans="3:3" x14ac:dyDescent="0.25">
      <c r="C143" s="2"/>
    </row>
    <row r="144" spans="3:3" x14ac:dyDescent="0.25">
      <c r="C144" s="2"/>
    </row>
    <row r="145" spans="3:3" x14ac:dyDescent="0.25">
      <c r="C145" s="2"/>
    </row>
    <row r="146" spans="3:3" x14ac:dyDescent="0.25">
      <c r="C146" s="2"/>
    </row>
  </sheetData>
  <autoFilter ref="A1:D15" xr:uid="{430B19AC-5A31-4339-96D3-802AD3ADD98C}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>
      <selection activeCell="A5" sqref="A5"/>
    </sheetView>
  </sheetViews>
  <sheetFormatPr defaultColWidth="10.7109375" defaultRowHeight="15" x14ac:dyDescent="0.25"/>
  <cols>
    <col min="1" max="1" width="10.28515625" bestFit="1" customWidth="1"/>
    <col min="2" max="2" width="18.140625" bestFit="1" customWidth="1"/>
    <col min="3" max="3" width="5.85546875" bestFit="1" customWidth="1"/>
    <col min="4" max="4" width="25.5703125" bestFit="1" customWidth="1"/>
  </cols>
  <sheetData>
    <row r="1" spans="1:4" x14ac:dyDescent="0.25">
      <c r="A1" t="s">
        <v>86</v>
      </c>
    </row>
    <row r="2" spans="1:4" x14ac:dyDescent="0.25">
      <c r="A2" t="s">
        <v>90</v>
      </c>
    </row>
    <row r="3" spans="1:4" x14ac:dyDescent="0.25">
      <c r="A3" t="s">
        <v>31</v>
      </c>
      <c r="B3" t="s">
        <v>29</v>
      </c>
      <c r="C3" t="s">
        <v>0</v>
      </c>
      <c r="D3" t="s">
        <v>45</v>
      </c>
    </row>
    <row r="4" spans="1:4" x14ac:dyDescent="0.25">
      <c r="A4" t="s">
        <v>27</v>
      </c>
      <c r="B4" t="s">
        <v>4</v>
      </c>
      <c r="C4">
        <v>1</v>
      </c>
      <c r="D4">
        <v>0</v>
      </c>
    </row>
  </sheetData>
  <autoFilter ref="A1:D1115" xr:uid="{8FA88A72-1E2E-45B2-82C4-CA105EC88C83}"/>
  <pageMargins left="0.7" right="0.7" top="0.78740157499999996" bottom="0.78740157499999996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1"/>
  <sheetViews>
    <sheetView zoomScale="70" zoomScaleNormal="70" workbookViewId="0">
      <selection activeCell="S53" sqref="S53"/>
    </sheetView>
  </sheetViews>
  <sheetFormatPr defaultColWidth="10.7109375" defaultRowHeight="15" x14ac:dyDescent="0.25"/>
  <cols>
    <col min="1" max="1" width="12.140625" customWidth="1"/>
    <col min="2" max="2" width="21.140625" bestFit="1" customWidth="1"/>
    <col min="3" max="3" width="12.140625" customWidth="1"/>
    <col min="4" max="4" width="27.85546875" customWidth="1"/>
  </cols>
  <sheetData>
    <row r="1" spans="1:4" x14ac:dyDescent="0.25">
      <c r="A1" t="s">
        <v>69</v>
      </c>
    </row>
    <row r="2" spans="1:4" x14ac:dyDescent="0.25">
      <c r="A2" t="s">
        <v>70</v>
      </c>
    </row>
    <row r="3" spans="1:4" x14ac:dyDescent="0.25">
      <c r="A3" t="s">
        <v>31</v>
      </c>
      <c r="B3" t="s">
        <v>29</v>
      </c>
      <c r="C3" t="s">
        <v>0</v>
      </c>
      <c r="D3" t="s">
        <v>46</v>
      </c>
    </row>
    <row r="4" spans="1:4" x14ac:dyDescent="0.25">
      <c r="A4" t="s">
        <v>27</v>
      </c>
      <c r="B4" t="s">
        <v>37</v>
      </c>
      <c r="C4">
        <v>1</v>
      </c>
      <c r="D4">
        <v>0</v>
      </c>
    </row>
    <row r="5" spans="1:4" x14ac:dyDescent="0.25">
      <c r="A5" t="s">
        <v>28</v>
      </c>
      <c r="B5" t="s">
        <v>37</v>
      </c>
      <c r="C5">
        <v>1</v>
      </c>
      <c r="D5">
        <v>0</v>
      </c>
    </row>
    <row r="6" spans="1:4" x14ac:dyDescent="0.25">
      <c r="A6" t="s">
        <v>30</v>
      </c>
      <c r="B6" t="s">
        <v>37</v>
      </c>
      <c r="C6">
        <v>1</v>
      </c>
      <c r="D6">
        <v>0</v>
      </c>
    </row>
    <row r="7" spans="1:4" x14ac:dyDescent="0.25">
      <c r="A7" t="s">
        <v>27</v>
      </c>
      <c r="B7" t="s">
        <v>37</v>
      </c>
      <c r="C7">
        <v>2</v>
      </c>
      <c r="D7">
        <v>0</v>
      </c>
    </row>
    <row r="8" spans="1:4" x14ac:dyDescent="0.25">
      <c r="A8" t="s">
        <v>28</v>
      </c>
      <c r="B8" t="s">
        <v>37</v>
      </c>
      <c r="C8">
        <v>2</v>
      </c>
      <c r="D8">
        <v>0</v>
      </c>
    </row>
    <row r="9" spans="1:4" x14ac:dyDescent="0.25">
      <c r="A9" t="s">
        <v>30</v>
      </c>
      <c r="B9" t="s">
        <v>37</v>
      </c>
      <c r="C9">
        <v>2</v>
      </c>
      <c r="D9">
        <v>0</v>
      </c>
    </row>
    <row r="10" spans="1:4" x14ac:dyDescent="0.25">
      <c r="A10" t="s">
        <v>27</v>
      </c>
      <c r="B10" t="s">
        <v>37</v>
      </c>
      <c r="C10">
        <v>3</v>
      </c>
      <c r="D10">
        <v>0</v>
      </c>
    </row>
    <row r="11" spans="1:4" x14ac:dyDescent="0.25">
      <c r="A11" t="s">
        <v>28</v>
      </c>
      <c r="B11" t="s">
        <v>37</v>
      </c>
      <c r="C11">
        <v>3</v>
      </c>
      <c r="D11">
        <v>0</v>
      </c>
    </row>
    <row r="12" spans="1:4" x14ac:dyDescent="0.25">
      <c r="A12" t="s">
        <v>30</v>
      </c>
      <c r="B12" t="s">
        <v>37</v>
      </c>
      <c r="C12">
        <v>3</v>
      </c>
      <c r="D12">
        <v>0</v>
      </c>
    </row>
    <row r="13" spans="1:4" x14ac:dyDescent="0.25">
      <c r="A13" t="s">
        <v>27</v>
      </c>
      <c r="B13" t="s">
        <v>38</v>
      </c>
      <c r="C13">
        <v>1</v>
      </c>
      <c r="D13">
        <v>0</v>
      </c>
    </row>
    <row r="14" spans="1:4" x14ac:dyDescent="0.25">
      <c r="A14" t="s">
        <v>28</v>
      </c>
      <c r="B14" t="s">
        <v>38</v>
      </c>
      <c r="C14">
        <v>1</v>
      </c>
      <c r="D14">
        <v>0</v>
      </c>
    </row>
    <row r="15" spans="1:4" x14ac:dyDescent="0.25">
      <c r="A15" t="s">
        <v>30</v>
      </c>
      <c r="B15" t="s">
        <v>38</v>
      </c>
      <c r="C15">
        <v>1</v>
      </c>
      <c r="D15">
        <v>0</v>
      </c>
    </row>
    <row r="16" spans="1:4" x14ac:dyDescent="0.25">
      <c r="A16" t="s">
        <v>27</v>
      </c>
      <c r="B16" t="s">
        <v>38</v>
      </c>
      <c r="C16">
        <v>2</v>
      </c>
      <c r="D16">
        <v>0</v>
      </c>
    </row>
    <row r="17" spans="1:4" x14ac:dyDescent="0.25">
      <c r="A17" t="s">
        <v>28</v>
      </c>
      <c r="B17" t="s">
        <v>38</v>
      </c>
      <c r="C17">
        <v>2</v>
      </c>
      <c r="D17">
        <v>0</v>
      </c>
    </row>
    <row r="18" spans="1:4" x14ac:dyDescent="0.25">
      <c r="A18" t="s">
        <v>30</v>
      </c>
      <c r="B18" t="s">
        <v>38</v>
      </c>
      <c r="C18">
        <v>2</v>
      </c>
      <c r="D18">
        <v>0</v>
      </c>
    </row>
    <row r="19" spans="1:4" x14ac:dyDescent="0.25">
      <c r="A19" t="s">
        <v>27</v>
      </c>
      <c r="B19" t="s">
        <v>38</v>
      </c>
      <c r="C19">
        <v>3</v>
      </c>
      <c r="D19">
        <v>0</v>
      </c>
    </row>
    <row r="20" spans="1:4" x14ac:dyDescent="0.25">
      <c r="A20" t="s">
        <v>28</v>
      </c>
      <c r="B20" t="s">
        <v>38</v>
      </c>
      <c r="C20">
        <v>3</v>
      </c>
      <c r="D20">
        <v>0</v>
      </c>
    </row>
    <row r="21" spans="1:4" x14ac:dyDescent="0.25">
      <c r="A21" t="s">
        <v>30</v>
      </c>
      <c r="B21" t="s">
        <v>38</v>
      </c>
      <c r="C21">
        <v>3</v>
      </c>
      <c r="D21">
        <v>0</v>
      </c>
    </row>
  </sheetData>
  <autoFilter ref="A1:D21" xr:uid="{51831CCE-7FE7-41EF-9B3B-86D3479079F9}"/>
  <pageMargins left="0.7" right="0.7" top="0.78740157499999996" bottom="0.78740157499999996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9"/>
  <sheetViews>
    <sheetView workbookViewId="0">
      <selection activeCell="H20" sqref="H20"/>
    </sheetView>
  </sheetViews>
  <sheetFormatPr defaultColWidth="11.42578125" defaultRowHeight="15" x14ac:dyDescent="0.25"/>
  <cols>
    <col min="1" max="1" width="10.28515625" bestFit="1" customWidth="1"/>
    <col min="2" max="2" width="20.85546875" bestFit="1" customWidth="1"/>
    <col min="3" max="3" width="26" bestFit="1" customWidth="1"/>
    <col min="4" max="4" width="14.7109375" customWidth="1"/>
    <col min="6" max="6" width="7" customWidth="1"/>
  </cols>
  <sheetData>
    <row r="1" spans="1:6" x14ac:dyDescent="0.25">
      <c r="A1" t="s">
        <v>76</v>
      </c>
    </row>
    <row r="2" spans="1:6" x14ac:dyDescent="0.25">
      <c r="A2" t="s">
        <v>77</v>
      </c>
    </row>
    <row r="3" spans="1:6" ht="30" x14ac:dyDescent="0.25">
      <c r="A3" s="1" t="s">
        <v>31</v>
      </c>
      <c r="B3" t="s">
        <v>29</v>
      </c>
      <c r="C3" s="1" t="s">
        <v>47</v>
      </c>
    </row>
    <row r="4" spans="1:6" x14ac:dyDescent="0.25">
      <c r="A4" t="s">
        <v>27</v>
      </c>
      <c r="B4" t="s">
        <v>18</v>
      </c>
      <c r="C4" s="6">
        <v>200000</v>
      </c>
    </row>
    <row r="5" spans="1:6" x14ac:dyDescent="0.25">
      <c r="A5" t="s">
        <v>28</v>
      </c>
      <c r="B5" t="s">
        <v>18</v>
      </c>
      <c r="C5" s="6">
        <v>200000</v>
      </c>
    </row>
    <row r="6" spans="1:6" x14ac:dyDescent="0.25">
      <c r="A6" t="s">
        <v>30</v>
      </c>
      <c r="B6" t="s">
        <v>18</v>
      </c>
      <c r="C6" s="6">
        <v>200000</v>
      </c>
    </row>
    <row r="7" spans="1:6" x14ac:dyDescent="0.25">
      <c r="A7" t="s">
        <v>27</v>
      </c>
      <c r="B7" t="s">
        <v>38</v>
      </c>
      <c r="C7">
        <v>800000</v>
      </c>
    </row>
    <row r="8" spans="1:6" x14ac:dyDescent="0.25">
      <c r="A8" t="s">
        <v>28</v>
      </c>
      <c r="B8" t="s">
        <v>38</v>
      </c>
      <c r="C8">
        <v>800000</v>
      </c>
    </row>
    <row r="9" spans="1:6" x14ac:dyDescent="0.25">
      <c r="A9" t="s">
        <v>30</v>
      </c>
      <c r="B9" t="s">
        <v>38</v>
      </c>
      <c r="C9">
        <v>800000</v>
      </c>
      <c r="E9" s="13"/>
      <c r="F9" t="s">
        <v>71</v>
      </c>
    </row>
    <row r="10" spans="1:6" x14ac:dyDescent="0.25">
      <c r="A10" t="s">
        <v>27</v>
      </c>
      <c r="B10" t="s">
        <v>15</v>
      </c>
      <c r="C10" s="10">
        <v>300</v>
      </c>
      <c r="E10" s="14"/>
      <c r="F10" t="s">
        <v>72</v>
      </c>
    </row>
    <row r="11" spans="1:6" x14ac:dyDescent="0.25">
      <c r="A11" t="s">
        <v>30</v>
      </c>
      <c r="B11" t="s">
        <v>15</v>
      </c>
      <c r="C11" s="10">
        <v>80</v>
      </c>
      <c r="E11" s="15"/>
      <c r="F11" t="s">
        <v>73</v>
      </c>
    </row>
    <row r="12" spans="1:6" x14ac:dyDescent="0.25">
      <c r="A12" t="s">
        <v>27</v>
      </c>
      <c r="B12" t="s">
        <v>5</v>
      </c>
      <c r="C12" s="5">
        <v>200000</v>
      </c>
      <c r="E12" s="16"/>
      <c r="F12" t="s">
        <v>74</v>
      </c>
    </row>
    <row r="13" spans="1:6" x14ac:dyDescent="0.25">
      <c r="A13" t="s">
        <v>28</v>
      </c>
      <c r="B13" t="s">
        <v>5</v>
      </c>
      <c r="C13" s="5">
        <v>200000</v>
      </c>
    </row>
    <row r="14" spans="1:6" x14ac:dyDescent="0.25">
      <c r="A14" t="s">
        <v>30</v>
      </c>
      <c r="B14" t="s">
        <v>5</v>
      </c>
      <c r="C14" s="5">
        <v>200000</v>
      </c>
      <c r="E14" s="17"/>
      <c r="F14" t="s">
        <v>75</v>
      </c>
    </row>
    <row r="15" spans="1:6" x14ac:dyDescent="0.25">
      <c r="A15" t="s">
        <v>27</v>
      </c>
      <c r="B15" t="s">
        <v>40</v>
      </c>
      <c r="C15" s="5">
        <v>200000</v>
      </c>
    </row>
    <row r="16" spans="1:6" x14ac:dyDescent="0.25">
      <c r="A16" t="s">
        <v>28</v>
      </c>
      <c r="B16" t="s">
        <v>40</v>
      </c>
      <c r="C16" s="5">
        <v>200000</v>
      </c>
    </row>
    <row r="17" spans="1:3" x14ac:dyDescent="0.25">
      <c r="A17" t="s">
        <v>30</v>
      </c>
      <c r="B17" t="s">
        <v>40</v>
      </c>
      <c r="C17" s="5">
        <v>200000</v>
      </c>
    </row>
    <row r="18" spans="1:3" x14ac:dyDescent="0.25">
      <c r="A18" t="s">
        <v>30</v>
      </c>
      <c r="B18" t="s">
        <v>14</v>
      </c>
      <c r="C18" s="10">
        <v>450</v>
      </c>
    </row>
    <row r="19" spans="1:3" x14ac:dyDescent="0.25">
      <c r="A19" t="s">
        <v>27</v>
      </c>
      <c r="B19" t="s">
        <v>37</v>
      </c>
      <c r="C19">
        <v>1000000</v>
      </c>
    </row>
    <row r="20" spans="1:3" x14ac:dyDescent="0.25">
      <c r="A20" t="s">
        <v>28</v>
      </c>
      <c r="B20" t="s">
        <v>37</v>
      </c>
      <c r="C20">
        <v>1000000</v>
      </c>
    </row>
    <row r="21" spans="1:3" x14ac:dyDescent="0.25">
      <c r="A21" t="s">
        <v>30</v>
      </c>
      <c r="B21" t="s">
        <v>37</v>
      </c>
      <c r="C21">
        <v>1000000</v>
      </c>
    </row>
    <row r="22" spans="1:3" x14ac:dyDescent="0.25">
      <c r="A22" t="s">
        <v>27</v>
      </c>
      <c r="B22" t="s">
        <v>25</v>
      </c>
      <c r="C22">
        <v>200000</v>
      </c>
    </row>
    <row r="23" spans="1:3" x14ac:dyDescent="0.25">
      <c r="A23" t="s">
        <v>28</v>
      </c>
      <c r="B23" t="s">
        <v>25</v>
      </c>
      <c r="C23">
        <v>200000</v>
      </c>
    </row>
    <row r="24" spans="1:3" x14ac:dyDescent="0.25">
      <c r="A24" t="s">
        <v>30</v>
      </c>
      <c r="B24" t="s">
        <v>25</v>
      </c>
      <c r="C24">
        <v>200000</v>
      </c>
    </row>
    <row r="25" spans="1:3" x14ac:dyDescent="0.25">
      <c r="A25" t="s">
        <v>27</v>
      </c>
      <c r="B25" t="s">
        <v>39</v>
      </c>
      <c r="C25" s="5">
        <v>200000</v>
      </c>
    </row>
    <row r="26" spans="1:3" x14ac:dyDescent="0.25">
      <c r="A26" t="s">
        <v>28</v>
      </c>
      <c r="B26" t="s">
        <v>39</v>
      </c>
      <c r="C26" s="5">
        <v>200000</v>
      </c>
    </row>
    <row r="27" spans="1:3" x14ac:dyDescent="0.25">
      <c r="A27" t="s">
        <v>30</v>
      </c>
      <c r="B27" t="s">
        <v>39</v>
      </c>
      <c r="C27" s="5">
        <v>200000</v>
      </c>
    </row>
    <row r="28" spans="1:3" x14ac:dyDescent="0.25">
      <c r="A28" t="s">
        <v>27</v>
      </c>
      <c r="B28" t="s">
        <v>41</v>
      </c>
      <c r="C28" s="3">
        <v>2211.1999999999998</v>
      </c>
    </row>
    <row r="29" spans="1:3" x14ac:dyDescent="0.25">
      <c r="A29" t="s">
        <v>30</v>
      </c>
      <c r="B29" t="s">
        <v>41</v>
      </c>
      <c r="C29" s="3">
        <v>20711.65593789937</v>
      </c>
    </row>
    <row r="30" spans="1:3" x14ac:dyDescent="0.25">
      <c r="A30" t="s">
        <v>27</v>
      </c>
      <c r="B30" t="s">
        <v>42</v>
      </c>
      <c r="C30" s="4">
        <v>4151.3590114827766</v>
      </c>
    </row>
    <row r="31" spans="1:3" x14ac:dyDescent="0.25">
      <c r="A31" t="s">
        <v>28</v>
      </c>
      <c r="B31" t="s">
        <v>42</v>
      </c>
      <c r="C31" s="4">
        <v>9</v>
      </c>
    </row>
    <row r="32" spans="1:3" x14ac:dyDescent="0.25">
      <c r="A32" t="s">
        <v>30</v>
      </c>
      <c r="B32" t="s">
        <v>42</v>
      </c>
      <c r="C32" s="4">
        <v>15718.688124201259</v>
      </c>
    </row>
    <row r="33" spans="1:3" x14ac:dyDescent="0.25">
      <c r="A33" t="s">
        <v>27</v>
      </c>
      <c r="B33" t="s">
        <v>2</v>
      </c>
      <c r="C33" s="5">
        <v>200000</v>
      </c>
    </row>
    <row r="34" spans="1:3" x14ac:dyDescent="0.25">
      <c r="A34" t="s">
        <v>30</v>
      </c>
      <c r="B34" t="s">
        <v>13</v>
      </c>
      <c r="C34" s="11">
        <v>57644</v>
      </c>
    </row>
    <row r="35" spans="1:3" x14ac:dyDescent="0.25">
      <c r="A35" t="s">
        <v>27</v>
      </c>
      <c r="B35" t="s">
        <v>26</v>
      </c>
      <c r="C35" s="6">
        <v>200000</v>
      </c>
    </row>
    <row r="36" spans="1:3" x14ac:dyDescent="0.25">
      <c r="A36" t="s">
        <v>28</v>
      </c>
      <c r="B36" t="s">
        <v>26</v>
      </c>
      <c r="C36" s="6">
        <v>200000</v>
      </c>
    </row>
    <row r="37" spans="1:3" x14ac:dyDescent="0.25">
      <c r="A37" t="s">
        <v>30</v>
      </c>
      <c r="B37" t="s">
        <v>26</v>
      </c>
      <c r="C37" s="6">
        <v>200000</v>
      </c>
    </row>
    <row r="38" spans="1:3" x14ac:dyDescent="0.25">
      <c r="A38" t="s">
        <v>27</v>
      </c>
      <c r="B38" t="s">
        <v>21</v>
      </c>
      <c r="C38" s="12">
        <v>1373000</v>
      </c>
    </row>
    <row r="39" spans="1:3" x14ac:dyDescent="0.25">
      <c r="A39" t="s">
        <v>28</v>
      </c>
      <c r="B39" t="s">
        <v>21</v>
      </c>
      <c r="C39" s="12">
        <v>70000</v>
      </c>
    </row>
    <row r="40" spans="1:3" x14ac:dyDescent="0.25">
      <c r="A40" t="s">
        <v>30</v>
      </c>
      <c r="B40" t="s">
        <v>21</v>
      </c>
      <c r="C40" s="12">
        <v>1128000</v>
      </c>
    </row>
    <row r="41" spans="1:3" x14ac:dyDescent="0.25">
      <c r="A41" t="s">
        <v>27</v>
      </c>
      <c r="B41" t="s">
        <v>44</v>
      </c>
      <c r="C41" s="9">
        <v>200000</v>
      </c>
    </row>
    <row r="42" spans="1:3" x14ac:dyDescent="0.25">
      <c r="A42" t="s">
        <v>28</v>
      </c>
      <c r="B42" t="s">
        <v>44</v>
      </c>
      <c r="C42" s="9">
        <v>200000</v>
      </c>
    </row>
    <row r="43" spans="1:3" x14ac:dyDescent="0.25">
      <c r="A43" t="s">
        <v>30</v>
      </c>
      <c r="B43" t="s">
        <v>44</v>
      </c>
      <c r="C43" s="9">
        <v>200000</v>
      </c>
    </row>
    <row r="44" spans="1:3" x14ac:dyDescent="0.25">
      <c r="A44" t="s">
        <v>27</v>
      </c>
      <c r="B44" t="s">
        <v>43</v>
      </c>
      <c r="C44" s="8">
        <v>197304</v>
      </c>
    </row>
    <row r="45" spans="1:3" x14ac:dyDescent="0.25">
      <c r="A45" t="s">
        <v>28</v>
      </c>
      <c r="B45" t="s">
        <v>43</v>
      </c>
      <c r="C45" s="7">
        <v>16000</v>
      </c>
    </row>
    <row r="46" spans="1:3" x14ac:dyDescent="0.25">
      <c r="A46" t="s">
        <v>30</v>
      </c>
      <c r="B46" t="s">
        <v>43</v>
      </c>
      <c r="C46" s="7">
        <v>202454</v>
      </c>
    </row>
    <row r="47" spans="1:3" x14ac:dyDescent="0.25">
      <c r="A47" t="s">
        <v>27</v>
      </c>
      <c r="B47" t="s">
        <v>87</v>
      </c>
      <c r="C47" s="23">
        <v>1873.2</v>
      </c>
    </row>
    <row r="48" spans="1:3" x14ac:dyDescent="0.25">
      <c r="A48" t="s">
        <v>28</v>
      </c>
      <c r="B48" t="s">
        <v>87</v>
      </c>
      <c r="C48" s="23">
        <v>339.15000000000003</v>
      </c>
    </row>
    <row r="49" spans="1:3" x14ac:dyDescent="0.25">
      <c r="A49" t="s">
        <v>30</v>
      </c>
      <c r="B49" t="s">
        <v>87</v>
      </c>
      <c r="C49" s="23">
        <v>927.15000000000009</v>
      </c>
    </row>
  </sheetData>
  <autoFilter ref="A1:C49" xr:uid="{9287B301-A659-4D10-8530-31B689A6DDA1}"/>
  <pageMargins left="0.7" right="0.7" top="0.78740157499999996" bottom="0.78740157499999996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4"/>
  <sheetViews>
    <sheetView workbookViewId="0">
      <selection activeCell="B24" sqref="B24"/>
    </sheetView>
  </sheetViews>
  <sheetFormatPr defaultColWidth="11.42578125" defaultRowHeight="15" x14ac:dyDescent="0.25"/>
  <cols>
    <col min="1" max="1" width="20.5703125" bestFit="1" customWidth="1"/>
    <col min="2" max="2" width="8.85546875" bestFit="1" customWidth="1"/>
  </cols>
  <sheetData>
    <row r="1" spans="1:2" x14ac:dyDescent="0.25">
      <c r="A1" t="s">
        <v>62</v>
      </c>
    </row>
    <row r="2" spans="1:2" x14ac:dyDescent="0.25">
      <c r="A2" t="s">
        <v>78</v>
      </c>
    </row>
    <row r="3" spans="1:2" ht="30" x14ac:dyDescent="0.25">
      <c r="A3" t="s">
        <v>35</v>
      </c>
      <c r="B3" s="1" t="s">
        <v>34</v>
      </c>
    </row>
    <row r="4" spans="1:2" x14ac:dyDescent="0.25">
      <c r="A4" t="s">
        <v>1</v>
      </c>
      <c r="B4" s="2">
        <v>0.7</v>
      </c>
    </row>
    <row r="5" spans="1:2" x14ac:dyDescent="0.25">
      <c r="A5" t="s">
        <v>2</v>
      </c>
      <c r="B5" s="2">
        <v>0.7</v>
      </c>
    </row>
    <row r="6" spans="1:2" x14ac:dyDescent="0.25">
      <c r="A6" t="s">
        <v>3</v>
      </c>
      <c r="B6" s="2">
        <v>0.7</v>
      </c>
    </row>
    <row r="7" spans="1:2" x14ac:dyDescent="0.25">
      <c r="A7" t="s">
        <v>4</v>
      </c>
      <c r="B7" s="2">
        <v>0.7</v>
      </c>
    </row>
    <row r="8" spans="1:2" x14ac:dyDescent="0.25">
      <c r="A8" t="s">
        <v>5</v>
      </c>
      <c r="B8" s="2">
        <v>0.7</v>
      </c>
    </row>
    <row r="9" spans="1:2" x14ac:dyDescent="0.25">
      <c r="A9" t="s">
        <v>6</v>
      </c>
      <c r="B9" s="2">
        <v>0.7</v>
      </c>
    </row>
    <row r="10" spans="1:2" x14ac:dyDescent="0.25">
      <c r="A10" t="s">
        <v>7</v>
      </c>
      <c r="B10" s="2">
        <v>0.85</v>
      </c>
    </row>
    <row r="11" spans="1:2" x14ac:dyDescent="0.25">
      <c r="A11" t="s">
        <v>8</v>
      </c>
      <c r="B11" s="2">
        <v>1</v>
      </c>
    </row>
    <row r="12" spans="1:2" x14ac:dyDescent="0.25">
      <c r="A12" t="s">
        <v>9</v>
      </c>
      <c r="B12" s="2">
        <v>0.85</v>
      </c>
    </row>
    <row r="13" spans="1:2" x14ac:dyDescent="0.25">
      <c r="A13" t="s">
        <v>10</v>
      </c>
      <c r="B13" s="2">
        <v>0.85</v>
      </c>
    </row>
    <row r="14" spans="1:2" x14ac:dyDescent="0.25">
      <c r="A14" t="s">
        <v>11</v>
      </c>
      <c r="B14" s="2">
        <v>0.85</v>
      </c>
    </row>
    <row r="15" spans="1:2" x14ac:dyDescent="0.25">
      <c r="A15" t="s">
        <v>12</v>
      </c>
      <c r="B15" s="2">
        <v>0.85</v>
      </c>
    </row>
    <row r="16" spans="1:2" x14ac:dyDescent="0.25">
      <c r="A16" t="s">
        <v>32</v>
      </c>
      <c r="B16" s="2">
        <v>0.85</v>
      </c>
    </row>
    <row r="17" spans="1:2" x14ac:dyDescent="0.25">
      <c r="A17" t="s">
        <v>13</v>
      </c>
      <c r="B17" s="2">
        <v>0.3</v>
      </c>
    </row>
    <row r="18" spans="1:2" x14ac:dyDescent="0.25">
      <c r="A18" t="s">
        <v>15</v>
      </c>
      <c r="B18" s="2">
        <v>1</v>
      </c>
    </row>
    <row r="19" spans="1:2" x14ac:dyDescent="0.25">
      <c r="A19" t="s">
        <v>18</v>
      </c>
      <c r="B19" s="2">
        <v>0.7</v>
      </c>
    </row>
    <row r="20" spans="1:2" x14ac:dyDescent="0.25">
      <c r="A20" t="s">
        <v>33</v>
      </c>
      <c r="B20" s="2">
        <v>0.85</v>
      </c>
    </row>
    <row r="21" spans="1:2" x14ac:dyDescent="0.25">
      <c r="A21" t="s">
        <v>3</v>
      </c>
      <c r="B21" s="2">
        <v>0.7</v>
      </c>
    </row>
    <row r="22" spans="1:2" x14ac:dyDescent="0.25">
      <c r="A22" t="s">
        <v>23</v>
      </c>
      <c r="B22" s="2">
        <v>0.7</v>
      </c>
    </row>
    <row r="23" spans="1:2" x14ac:dyDescent="0.25">
      <c r="A23" t="s">
        <v>24</v>
      </c>
      <c r="B23" s="2">
        <v>0.85</v>
      </c>
    </row>
    <row r="24" spans="1:2" x14ac:dyDescent="0.25">
      <c r="A24" t="s">
        <v>87</v>
      </c>
      <c r="B24" s="2">
        <v>0.85</v>
      </c>
    </row>
  </sheetData>
  <pageMargins left="0.7" right="0.7" top="0.78740157499999996" bottom="0.78740157499999996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0"/>
  <sheetViews>
    <sheetView workbookViewId="0">
      <selection activeCell="B31" sqref="B31"/>
    </sheetView>
  </sheetViews>
  <sheetFormatPr defaultColWidth="10.7109375" defaultRowHeight="15" x14ac:dyDescent="0.25"/>
  <cols>
    <col min="1" max="1" width="20.5703125" bestFit="1" customWidth="1"/>
    <col min="2" max="2" width="21.28515625" bestFit="1" customWidth="1"/>
  </cols>
  <sheetData>
    <row r="1" spans="1:2" x14ac:dyDescent="0.25">
      <c r="A1" t="s">
        <v>62</v>
      </c>
    </row>
    <row r="2" spans="1:2" x14ac:dyDescent="0.25">
      <c r="A2" t="s">
        <v>79</v>
      </c>
    </row>
    <row r="3" spans="1:2" x14ac:dyDescent="0.25">
      <c r="A3" t="s">
        <v>36</v>
      </c>
      <c r="B3" t="s">
        <v>48</v>
      </c>
    </row>
    <row r="4" spans="1:2" x14ac:dyDescent="0.25">
      <c r="A4" t="s">
        <v>1</v>
      </c>
      <c r="B4">
        <v>0.75</v>
      </c>
    </row>
    <row r="5" spans="1:2" x14ac:dyDescent="0.25">
      <c r="A5" t="s">
        <v>2</v>
      </c>
      <c r="B5">
        <v>0.8</v>
      </c>
    </row>
    <row r="6" spans="1:2" x14ac:dyDescent="0.25">
      <c r="A6" t="s">
        <v>3</v>
      </c>
      <c r="B6">
        <v>0.8</v>
      </c>
    </row>
    <row r="7" spans="1:2" x14ac:dyDescent="0.25">
      <c r="A7" t="s">
        <v>4</v>
      </c>
      <c r="B7">
        <v>0.75</v>
      </c>
    </row>
    <row r="8" spans="1:2" x14ac:dyDescent="0.25">
      <c r="A8" t="s">
        <v>5</v>
      </c>
      <c r="B8">
        <v>0.75</v>
      </c>
    </row>
    <row r="9" spans="1:2" x14ac:dyDescent="0.25">
      <c r="A9" t="s">
        <v>6</v>
      </c>
      <c r="B9">
        <v>0.8</v>
      </c>
    </row>
    <row r="10" spans="1:2" x14ac:dyDescent="0.25">
      <c r="A10" t="s">
        <v>7</v>
      </c>
      <c r="B10">
        <v>0.8</v>
      </c>
    </row>
    <row r="11" spans="1:2" x14ac:dyDescent="0.25">
      <c r="A11" t="s">
        <v>8</v>
      </c>
      <c r="B11">
        <v>0.85</v>
      </c>
    </row>
    <row r="12" spans="1:2" x14ac:dyDescent="0.25">
      <c r="A12" t="s">
        <v>9</v>
      </c>
      <c r="B12">
        <v>0.85</v>
      </c>
    </row>
    <row r="13" spans="1:2" x14ac:dyDescent="0.25">
      <c r="A13" t="s">
        <v>10</v>
      </c>
      <c r="B13">
        <v>0.85</v>
      </c>
    </row>
    <row r="14" spans="1:2" x14ac:dyDescent="0.25">
      <c r="A14" t="s">
        <v>11</v>
      </c>
      <c r="B14">
        <v>0.85</v>
      </c>
    </row>
    <row r="15" spans="1:2" x14ac:dyDescent="0.25">
      <c r="A15" t="s">
        <v>12</v>
      </c>
      <c r="B15">
        <v>0.8</v>
      </c>
    </row>
    <row r="16" spans="1:2" x14ac:dyDescent="0.25">
      <c r="A16" t="s">
        <v>32</v>
      </c>
      <c r="B16">
        <v>0.8</v>
      </c>
    </row>
    <row r="17" spans="1:2" x14ac:dyDescent="0.25">
      <c r="A17" t="s">
        <v>13</v>
      </c>
      <c r="B17">
        <v>0.75</v>
      </c>
    </row>
    <row r="18" spans="1:2" x14ac:dyDescent="0.25">
      <c r="A18" t="s">
        <v>14</v>
      </c>
      <c r="B18">
        <v>0.33</v>
      </c>
    </row>
    <row r="19" spans="1:2" x14ac:dyDescent="0.25">
      <c r="A19" t="s">
        <v>15</v>
      </c>
      <c r="B19">
        <v>0.8</v>
      </c>
    </row>
    <row r="20" spans="1:2" x14ac:dyDescent="0.25">
      <c r="A20" t="s">
        <v>16</v>
      </c>
      <c r="B20">
        <v>1</v>
      </c>
    </row>
    <row r="21" spans="1:2" x14ac:dyDescent="0.25">
      <c r="A21" t="s">
        <v>17</v>
      </c>
      <c r="B21">
        <v>0</v>
      </c>
    </row>
    <row r="22" spans="1:2" x14ac:dyDescent="0.25">
      <c r="A22" t="s">
        <v>18</v>
      </c>
      <c r="B22">
        <v>0.8</v>
      </c>
    </row>
    <row r="23" spans="1:2" x14ac:dyDescent="0.25">
      <c r="A23" t="s">
        <v>19</v>
      </c>
      <c r="B23">
        <v>0</v>
      </c>
    </row>
    <row r="24" spans="1:2" x14ac:dyDescent="0.25">
      <c r="A24" t="s">
        <v>20</v>
      </c>
      <c r="B24">
        <v>0</v>
      </c>
    </row>
    <row r="25" spans="1:2" x14ac:dyDescent="0.25">
      <c r="A25" t="s">
        <v>21</v>
      </c>
      <c r="B25">
        <v>0</v>
      </c>
    </row>
    <row r="26" spans="1:2" x14ac:dyDescent="0.25">
      <c r="A26" t="s">
        <v>33</v>
      </c>
      <c r="B26">
        <v>0.8</v>
      </c>
    </row>
    <row r="27" spans="1:2" x14ac:dyDescent="0.25">
      <c r="A27" t="s">
        <v>22</v>
      </c>
      <c r="B27">
        <v>0.8</v>
      </c>
    </row>
    <row r="28" spans="1:2" x14ac:dyDescent="0.25">
      <c r="A28" t="s">
        <v>23</v>
      </c>
      <c r="B28">
        <v>0.8</v>
      </c>
    </row>
    <row r="29" spans="1:2" x14ac:dyDescent="0.25">
      <c r="A29" t="s">
        <v>24</v>
      </c>
      <c r="B29">
        <v>0.85</v>
      </c>
    </row>
    <row r="30" spans="1:2" x14ac:dyDescent="0.25">
      <c r="A30" t="s">
        <v>87</v>
      </c>
      <c r="B30">
        <v>0.95</v>
      </c>
    </row>
  </sheetData>
  <pageMargins left="0.7" right="0.7" top="0.78740157499999996" bottom="0.78740157499999996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0"/>
  <sheetViews>
    <sheetView tabSelected="1" workbookViewId="0">
      <selection activeCell="F9" sqref="F9"/>
    </sheetView>
  </sheetViews>
  <sheetFormatPr defaultColWidth="10.7109375" defaultRowHeight="15" x14ac:dyDescent="0.25"/>
  <cols>
    <col min="1" max="1" width="18.140625" bestFit="1" customWidth="1"/>
    <col min="2" max="2" width="20.140625" bestFit="1" customWidth="1"/>
  </cols>
  <sheetData>
    <row r="1" spans="1:2" x14ac:dyDescent="0.25">
      <c r="A1" t="s">
        <v>80</v>
      </c>
    </row>
    <row r="2" spans="1:2" x14ac:dyDescent="0.25">
      <c r="A2" t="s">
        <v>82</v>
      </c>
    </row>
    <row r="3" spans="1:2" x14ac:dyDescent="0.25">
      <c r="A3" t="s">
        <v>29</v>
      </c>
      <c r="B3" t="s">
        <v>81</v>
      </c>
    </row>
    <row r="4" spans="1:2" x14ac:dyDescent="0.25">
      <c r="A4" t="s">
        <v>1</v>
      </c>
      <c r="B4">
        <f>101/1000</f>
        <v>0.10100000000000001</v>
      </c>
    </row>
    <row r="5" spans="1:2" x14ac:dyDescent="0.25">
      <c r="A5" t="s">
        <v>2</v>
      </c>
      <c r="B5">
        <f t="shared" ref="B5" si="0">101/1000</f>
        <v>0.10100000000000001</v>
      </c>
    </row>
    <row r="6" spans="1:2" x14ac:dyDescent="0.25">
      <c r="A6" t="s">
        <v>3</v>
      </c>
      <c r="B6">
        <f>101*0.1/1000</f>
        <v>1.0100000000000001E-2</v>
      </c>
    </row>
    <row r="7" spans="1:2" x14ac:dyDescent="0.25">
      <c r="A7" t="s">
        <v>22</v>
      </c>
      <c r="B7">
        <f>101*0.1/1000</f>
        <v>1.0100000000000001E-2</v>
      </c>
    </row>
    <row r="8" spans="1:2" x14ac:dyDescent="0.25">
      <c r="A8" t="s">
        <v>4</v>
      </c>
      <c r="B8">
        <f>98.3/1000</f>
        <v>9.8299999999999998E-2</v>
      </c>
    </row>
    <row r="9" spans="1:2" x14ac:dyDescent="0.25">
      <c r="A9" t="s">
        <v>5</v>
      </c>
      <c r="B9">
        <f t="shared" ref="B9" si="1">98.3/1000</f>
        <v>9.8299999999999998E-2</v>
      </c>
    </row>
    <row r="10" spans="1:2" x14ac:dyDescent="0.25">
      <c r="A10" t="s">
        <v>6</v>
      </c>
      <c r="B10">
        <f>98.3*0.1/1000</f>
        <v>9.8300000000000002E-3</v>
      </c>
    </row>
    <row r="11" spans="1:2" x14ac:dyDescent="0.25">
      <c r="A11" t="s">
        <v>23</v>
      </c>
      <c r="B11">
        <f>98.3*0.1/1000</f>
        <v>9.8300000000000002E-3</v>
      </c>
    </row>
    <row r="12" spans="1:2" x14ac:dyDescent="0.25">
      <c r="A12" t="s">
        <v>7</v>
      </c>
      <c r="B12">
        <f>56.1/1000</f>
        <v>5.6100000000000004E-2</v>
      </c>
    </row>
    <row r="13" spans="1:2" x14ac:dyDescent="0.25">
      <c r="A13" t="s">
        <v>8</v>
      </c>
      <c r="B13">
        <f t="shared" ref="B13:B14" si="2">56.1/1000</f>
        <v>5.6100000000000004E-2</v>
      </c>
    </row>
    <row r="14" spans="1:2" x14ac:dyDescent="0.25">
      <c r="A14" t="s">
        <v>9</v>
      </c>
      <c r="B14">
        <f t="shared" si="2"/>
        <v>5.6100000000000004E-2</v>
      </c>
    </row>
    <row r="15" spans="1:2" x14ac:dyDescent="0.25">
      <c r="A15" t="s">
        <v>10</v>
      </c>
      <c r="B15">
        <f>56.1*0.1/1000</f>
        <v>5.6100000000000004E-3</v>
      </c>
    </row>
    <row r="16" spans="1:2" x14ac:dyDescent="0.25">
      <c r="A16" t="s">
        <v>24</v>
      </c>
      <c r="B16">
        <f>56.1*0.1/1000</f>
        <v>5.6100000000000004E-3</v>
      </c>
    </row>
    <row r="17" spans="1:2" x14ac:dyDescent="0.25">
      <c r="A17" t="s">
        <v>11</v>
      </c>
      <c r="B17">
        <f>77.4/1000</f>
        <v>7.740000000000001E-2</v>
      </c>
    </row>
    <row r="18" spans="1:2" x14ac:dyDescent="0.25">
      <c r="A18" t="s">
        <v>12</v>
      </c>
      <c r="B18">
        <v>0</v>
      </c>
    </row>
    <row r="19" spans="1:2" x14ac:dyDescent="0.25">
      <c r="A19" t="s">
        <v>32</v>
      </c>
      <c r="B19">
        <f>88.5/1000</f>
        <v>8.8499999999999995E-2</v>
      </c>
    </row>
    <row r="20" spans="1:2" x14ac:dyDescent="0.25">
      <c r="A20" t="s">
        <v>33</v>
      </c>
      <c r="B20">
        <f>88.5*0.1/1000</f>
        <v>8.8500000000000002E-3</v>
      </c>
    </row>
    <row r="21" spans="1:2" x14ac:dyDescent="0.25">
      <c r="A21" t="s">
        <v>13</v>
      </c>
      <c r="B21">
        <v>0</v>
      </c>
    </row>
    <row r="22" spans="1:2" x14ac:dyDescent="0.25">
      <c r="A22" t="s">
        <v>14</v>
      </c>
      <c r="B22">
        <v>0</v>
      </c>
    </row>
    <row r="23" spans="1:2" x14ac:dyDescent="0.25">
      <c r="A23" t="s">
        <v>15</v>
      </c>
      <c r="B23">
        <v>0</v>
      </c>
    </row>
    <row r="24" spans="1:2" x14ac:dyDescent="0.25">
      <c r="A24" t="s">
        <v>16</v>
      </c>
      <c r="B24">
        <v>0</v>
      </c>
    </row>
    <row r="25" spans="1:2" x14ac:dyDescent="0.25">
      <c r="A25" t="s">
        <v>17</v>
      </c>
      <c r="B25">
        <v>0</v>
      </c>
    </row>
    <row r="26" spans="1:2" x14ac:dyDescent="0.25">
      <c r="A26" t="s">
        <v>18</v>
      </c>
      <c r="B26">
        <v>0</v>
      </c>
    </row>
    <row r="27" spans="1:2" x14ac:dyDescent="0.25">
      <c r="A27" t="s">
        <v>19</v>
      </c>
      <c r="B27">
        <v>0</v>
      </c>
    </row>
    <row r="28" spans="1:2" x14ac:dyDescent="0.25">
      <c r="A28" t="s">
        <v>20</v>
      </c>
      <c r="B28">
        <v>0</v>
      </c>
    </row>
    <row r="29" spans="1:2" x14ac:dyDescent="0.25">
      <c r="A29" t="s">
        <v>21</v>
      </c>
      <c r="B29">
        <v>0</v>
      </c>
    </row>
    <row r="30" spans="1:2" x14ac:dyDescent="0.25">
      <c r="A30" t="s">
        <v>87</v>
      </c>
      <c r="B30">
        <v>3.6999999999999998E-2</v>
      </c>
    </row>
  </sheetData>
  <autoFilter ref="A1:B255" xr:uid="{44FB08DB-D0F4-44C5-9830-AEB764E34A94}"/>
  <pageMargins left="0.7" right="0.7" top="0.78740157499999996" bottom="0.78740157499999996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5F6EA-43A1-45AD-AE0E-6186EC1FBAD3}">
  <dimension ref="A1:B30"/>
  <sheetViews>
    <sheetView workbookViewId="0">
      <selection activeCell="B17" sqref="B17"/>
    </sheetView>
  </sheetViews>
  <sheetFormatPr defaultColWidth="10.85546875" defaultRowHeight="15" x14ac:dyDescent="0.25"/>
  <cols>
    <col min="1" max="1" width="21" bestFit="1" customWidth="1"/>
    <col min="2" max="2" width="17.140625" bestFit="1" customWidth="1"/>
  </cols>
  <sheetData>
    <row r="1" spans="1:2" x14ac:dyDescent="0.25">
      <c r="A1" t="s">
        <v>84</v>
      </c>
    </row>
    <row r="2" spans="1:2" x14ac:dyDescent="0.25">
      <c r="A2" t="s">
        <v>83</v>
      </c>
    </row>
    <row r="3" spans="1:2" x14ac:dyDescent="0.25">
      <c r="A3" t="s">
        <v>29</v>
      </c>
      <c r="B3" t="s">
        <v>59</v>
      </c>
    </row>
    <row r="4" spans="1:2" x14ac:dyDescent="0.25">
      <c r="A4" t="s">
        <v>1</v>
      </c>
      <c r="B4">
        <v>40</v>
      </c>
    </row>
    <row r="5" spans="1:2" x14ac:dyDescent="0.25">
      <c r="A5" t="s">
        <v>2</v>
      </c>
      <c r="B5">
        <v>40</v>
      </c>
    </row>
    <row r="6" spans="1:2" x14ac:dyDescent="0.25">
      <c r="A6" t="s">
        <v>3</v>
      </c>
      <c r="B6">
        <v>40</v>
      </c>
    </row>
    <row r="7" spans="1:2" x14ac:dyDescent="0.25">
      <c r="A7" t="s">
        <v>4</v>
      </c>
      <c r="B7">
        <v>40</v>
      </c>
    </row>
    <row r="8" spans="1:2" x14ac:dyDescent="0.25">
      <c r="A8" t="s">
        <v>5</v>
      </c>
      <c r="B8">
        <v>40</v>
      </c>
    </row>
    <row r="9" spans="1:2" x14ac:dyDescent="0.25">
      <c r="A9" t="s">
        <v>6</v>
      </c>
      <c r="B9">
        <v>40</v>
      </c>
    </row>
    <row r="10" spans="1:2" x14ac:dyDescent="0.25">
      <c r="A10" t="s">
        <v>7</v>
      </c>
      <c r="B10">
        <v>30</v>
      </c>
    </row>
    <row r="11" spans="1:2" x14ac:dyDescent="0.25">
      <c r="A11" t="s">
        <v>8</v>
      </c>
      <c r="B11">
        <v>30</v>
      </c>
    </row>
    <row r="12" spans="1:2" x14ac:dyDescent="0.25">
      <c r="A12" t="s">
        <v>9</v>
      </c>
      <c r="B12">
        <v>30</v>
      </c>
    </row>
    <row r="13" spans="1:2" x14ac:dyDescent="0.25">
      <c r="A13" t="s">
        <v>10</v>
      </c>
      <c r="B13">
        <v>30</v>
      </c>
    </row>
    <row r="14" spans="1:2" x14ac:dyDescent="0.25">
      <c r="A14" t="s">
        <v>11</v>
      </c>
      <c r="B14">
        <v>40</v>
      </c>
    </row>
    <row r="15" spans="1:2" x14ac:dyDescent="0.25">
      <c r="A15" t="s">
        <v>12</v>
      </c>
      <c r="B15">
        <v>40</v>
      </c>
    </row>
    <row r="16" spans="1:2" x14ac:dyDescent="0.25">
      <c r="A16" t="s">
        <v>32</v>
      </c>
      <c r="B16">
        <v>40</v>
      </c>
    </row>
    <row r="17" spans="1:2" x14ac:dyDescent="0.25">
      <c r="A17" t="s">
        <v>13</v>
      </c>
      <c r="B17">
        <v>60</v>
      </c>
    </row>
    <row r="18" spans="1:2" x14ac:dyDescent="0.25">
      <c r="A18" t="s">
        <v>14</v>
      </c>
      <c r="B18">
        <v>80</v>
      </c>
    </row>
    <row r="19" spans="1:2" x14ac:dyDescent="0.25">
      <c r="A19" t="s">
        <v>15</v>
      </c>
      <c r="B19">
        <v>30</v>
      </c>
    </row>
    <row r="20" spans="1:2" x14ac:dyDescent="0.25">
      <c r="A20" t="s">
        <v>16</v>
      </c>
      <c r="B20">
        <v>60</v>
      </c>
    </row>
    <row r="21" spans="1:2" x14ac:dyDescent="0.25">
      <c r="A21" t="s">
        <v>17</v>
      </c>
      <c r="B21">
        <v>50</v>
      </c>
    </row>
    <row r="22" spans="1:2" x14ac:dyDescent="0.25">
      <c r="A22" t="s">
        <v>18</v>
      </c>
      <c r="B22">
        <v>40</v>
      </c>
    </row>
    <row r="23" spans="1:2" x14ac:dyDescent="0.25">
      <c r="A23" t="s">
        <v>19</v>
      </c>
      <c r="B23">
        <v>25</v>
      </c>
    </row>
    <row r="24" spans="1:2" x14ac:dyDescent="0.25">
      <c r="A24" t="s">
        <v>20</v>
      </c>
      <c r="B24">
        <v>25</v>
      </c>
    </row>
    <row r="25" spans="1:2" x14ac:dyDescent="0.25">
      <c r="A25" t="s">
        <v>21</v>
      </c>
      <c r="B25">
        <v>25</v>
      </c>
    </row>
    <row r="26" spans="1:2" x14ac:dyDescent="0.25">
      <c r="A26" t="s">
        <v>33</v>
      </c>
      <c r="B26">
        <v>40</v>
      </c>
    </row>
    <row r="27" spans="1:2" x14ac:dyDescent="0.25">
      <c r="A27" t="s">
        <v>22</v>
      </c>
      <c r="B27">
        <v>40</v>
      </c>
    </row>
    <row r="28" spans="1:2" x14ac:dyDescent="0.25">
      <c r="A28" t="s">
        <v>23</v>
      </c>
      <c r="B28">
        <v>40</v>
      </c>
    </row>
    <row r="29" spans="1:2" x14ac:dyDescent="0.25">
      <c r="A29" t="s">
        <v>24</v>
      </c>
      <c r="B29">
        <v>30</v>
      </c>
    </row>
    <row r="30" spans="1:2" x14ac:dyDescent="0.25">
      <c r="A30" t="s">
        <v>87</v>
      </c>
      <c r="B30">
        <v>20</v>
      </c>
    </row>
  </sheetData>
  <pageMargins left="0.7" right="0.7" top="0.78740157499999996" bottom="0.78740157499999996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4</vt:i4>
      </vt:variant>
    </vt:vector>
  </HeadingPairs>
  <TitlesOfParts>
    <vt:vector size="19" baseType="lpstr">
      <vt:lpstr>CapitalCosts</vt:lpstr>
      <vt:lpstr>FixedOMCosts</vt:lpstr>
      <vt:lpstr>VariableOMCosts</vt:lpstr>
      <vt:lpstr>FuelCosts</vt:lpstr>
      <vt:lpstr>CCSCostTSVariable</vt:lpstr>
      <vt:lpstr>Efficiency</vt:lpstr>
      <vt:lpstr>RefInitialCap</vt:lpstr>
      <vt:lpstr>ScaleFactorInitialCap</vt:lpstr>
      <vt:lpstr>InitialCapacity</vt:lpstr>
      <vt:lpstr>MaxBuiltCapacity</vt:lpstr>
      <vt:lpstr>MaxInstalledCapacity</vt:lpstr>
      <vt:lpstr>RampRate</vt:lpstr>
      <vt:lpstr>GeneratorTypeAvailability</vt:lpstr>
      <vt:lpstr>CO2Content</vt:lpstr>
      <vt:lpstr>Lifetime</vt:lpstr>
      <vt:lpstr>gen</vt:lpstr>
      <vt:lpstr>initialCap2</vt:lpstr>
      <vt:lpstr>maxBuiltCap2</vt:lpstr>
      <vt:lpstr>maxInstalledCap2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2025-09-24T09:20:32Z</dcterms:modified>
</cp:coreProperties>
</file>